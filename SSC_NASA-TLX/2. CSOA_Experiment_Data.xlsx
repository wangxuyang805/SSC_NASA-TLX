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南京航空航天大学\小论文4\ASME投稿\第一次回复\"/>
    </mc:Choice>
  </mc:AlternateContent>
  <xr:revisionPtr revIDLastSave="0" documentId="13_ncr:1_{45A2F25E-F23F-4ACE-AC14-F5664C1820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1" i="1" l="1"/>
  <c r="F112" i="1"/>
  <c r="F113" i="1"/>
  <c r="D113" i="1"/>
  <c r="E113" i="1"/>
  <c r="D112" i="1"/>
  <c r="E112" i="1"/>
  <c r="D111" i="1"/>
  <c r="E111" i="1"/>
  <c r="C112" i="1"/>
  <c r="C113" i="1"/>
  <c r="C111" i="1"/>
  <c r="D110" i="1"/>
  <c r="E110" i="1"/>
  <c r="F110" i="1"/>
  <c r="C110" i="1"/>
  <c r="S109" i="1"/>
  <c r="S108" i="1"/>
  <c r="S107" i="1"/>
  <c r="S106" i="1"/>
  <c r="S104" i="1"/>
  <c r="S103" i="1"/>
  <c r="S102" i="1"/>
  <c r="S100" i="1"/>
  <c r="S99" i="1"/>
  <c r="S98" i="1"/>
  <c r="S97" i="1"/>
  <c r="S96" i="1"/>
  <c r="S95" i="1"/>
  <c r="S94" i="1"/>
  <c r="S101" i="1"/>
  <c r="S105" i="1"/>
  <c r="S93" i="1"/>
  <c r="S92" i="1"/>
  <c r="S91" i="1"/>
  <c r="S90" i="1"/>
  <c r="S88" i="1"/>
  <c r="S87" i="1"/>
  <c r="S86" i="1"/>
  <c r="S89" i="1"/>
  <c r="S84" i="1"/>
  <c r="S83" i="1"/>
  <c r="S82" i="1"/>
  <c r="S85" i="1"/>
  <c r="S80" i="1"/>
  <c r="S79" i="1"/>
  <c r="S78" i="1"/>
  <c r="S81" i="1"/>
  <c r="S74" i="1"/>
  <c r="S75" i="1"/>
  <c r="S76" i="1"/>
  <c r="S77" i="1"/>
  <c r="S72" i="1"/>
  <c r="S71" i="1"/>
  <c r="S70" i="1"/>
  <c r="S73" i="1"/>
  <c r="S68" i="1"/>
  <c r="S67" i="1"/>
  <c r="S66" i="1"/>
  <c r="S69" i="1"/>
  <c r="S65" i="1"/>
  <c r="S64" i="1"/>
  <c r="S63" i="1"/>
  <c r="S62" i="1"/>
  <c r="S60" i="1"/>
  <c r="S59" i="1"/>
  <c r="S58" i="1"/>
  <c r="S61" i="1"/>
  <c r="S57" i="1"/>
  <c r="S56" i="1"/>
  <c r="S55" i="1"/>
  <c r="S54" i="1"/>
  <c r="S53" i="1"/>
  <c r="S52" i="1"/>
  <c r="S51" i="1"/>
  <c r="S50" i="1"/>
  <c r="S49" i="1"/>
  <c r="S48" i="1"/>
  <c r="S47" i="1"/>
  <c r="S46" i="1"/>
  <c r="S44" i="1"/>
  <c r="S43" i="1"/>
  <c r="S42" i="1"/>
  <c r="S45" i="1"/>
  <c r="S41" i="1"/>
  <c r="S40" i="1"/>
  <c r="S39" i="1"/>
  <c r="S38" i="1"/>
  <c r="S37" i="1"/>
  <c r="S36" i="1"/>
  <c r="S35" i="1"/>
  <c r="S34" i="1"/>
  <c r="S32" i="1"/>
  <c r="S31" i="1"/>
  <c r="S33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0" i="1"/>
  <c r="S13" i="1"/>
  <c r="S12" i="1"/>
  <c r="S11" i="1"/>
  <c r="S9" i="1"/>
  <c r="S8" i="1"/>
  <c r="S7" i="1"/>
  <c r="S6" i="1"/>
  <c r="S5" i="1"/>
  <c r="S4" i="1"/>
  <c r="S3" i="1"/>
  <c r="S2" i="1"/>
  <c r="S110" i="1" s="1"/>
  <c r="S113" i="1" l="1"/>
  <c r="S112" i="1"/>
  <c r="S111" i="1"/>
</calcChain>
</file>

<file path=xl/sharedStrings.xml><?xml version="1.0" encoding="utf-8"?>
<sst xmlns="http://schemas.openxmlformats.org/spreadsheetml/2006/main" count="132" uniqueCount="24">
  <si>
    <t>Control Strategy</t>
    <phoneticPr fontId="1" type="noConversion"/>
  </si>
  <si>
    <t>Mental Demand</t>
    <phoneticPr fontId="1" type="noConversion"/>
  </si>
  <si>
    <t>Physical Demand</t>
    <phoneticPr fontId="1" type="noConversion"/>
  </si>
  <si>
    <t>Temporal Demand</t>
    <phoneticPr fontId="1" type="noConversion"/>
  </si>
  <si>
    <t>Frustration Level</t>
    <phoneticPr fontId="1" type="noConversion"/>
  </si>
  <si>
    <r>
      <t>H</t>
    </r>
    <r>
      <rPr>
        <vertAlign val="subscript"/>
        <sz val="12"/>
        <color theme="1"/>
        <rFont val="Times New Roman"/>
        <family val="1"/>
      </rPr>
      <t>1</t>
    </r>
    <phoneticPr fontId="1" type="noConversion"/>
  </si>
  <si>
    <r>
      <t>H</t>
    </r>
    <r>
      <rPr>
        <vertAlign val="subscript"/>
        <sz val="12"/>
        <color theme="1"/>
        <rFont val="Times New Roman"/>
        <family val="1"/>
      </rPr>
      <t>2</t>
    </r>
    <phoneticPr fontId="1" type="noConversion"/>
  </si>
  <si>
    <r>
      <t>H</t>
    </r>
    <r>
      <rPr>
        <vertAlign val="subscript"/>
        <sz val="12"/>
        <color theme="1"/>
        <rFont val="Times New Roman"/>
        <family val="1"/>
      </rPr>
      <t>3</t>
    </r>
    <phoneticPr fontId="1" type="noConversion"/>
  </si>
  <si>
    <r>
      <t>H</t>
    </r>
    <r>
      <rPr>
        <vertAlign val="subscript"/>
        <sz val="12"/>
        <color theme="1"/>
        <rFont val="Times New Roman"/>
        <family val="1"/>
      </rPr>
      <t>4</t>
    </r>
    <phoneticPr fontId="1" type="noConversion"/>
  </si>
  <si>
    <t>RASCS</t>
    <phoneticPr fontId="1" type="noConversion"/>
  </si>
  <si>
    <t>WFSCS</t>
    <phoneticPr fontId="1" type="noConversion"/>
  </si>
  <si>
    <t>DASCS</t>
    <phoneticPr fontId="1" type="noConversion"/>
  </si>
  <si>
    <t>NMSCS</t>
    <phoneticPr fontId="1" type="noConversion"/>
  </si>
  <si>
    <t>Performance</t>
  </si>
  <si>
    <t>Effort</t>
  </si>
  <si>
    <t>Indicator MD</t>
    <phoneticPr fontId="1" type="noConversion"/>
  </si>
  <si>
    <t>Driver</t>
    <phoneticPr fontId="1" type="noConversion"/>
  </si>
  <si>
    <t>Indicator PD</t>
    <phoneticPr fontId="1" type="noConversion"/>
  </si>
  <si>
    <t>Indicator TD</t>
    <phoneticPr fontId="1" type="noConversion"/>
  </si>
  <si>
    <t>Indicator P</t>
    <phoneticPr fontId="1" type="noConversion"/>
  </si>
  <si>
    <t>Indicator FL</t>
    <phoneticPr fontId="1" type="noConversion"/>
  </si>
  <si>
    <t>Indicator E</t>
    <phoneticPr fontId="1" type="noConversion"/>
  </si>
  <si>
    <t>Average</t>
    <phoneticPr fontId="1" type="noConversion"/>
  </si>
  <si>
    <r>
      <t>Overall workload H</t>
    </r>
    <r>
      <rPr>
        <vertAlign val="subscript"/>
        <sz val="12"/>
        <color theme="1"/>
        <rFont val="Times New Roman"/>
        <family val="1"/>
      </rPr>
      <t>5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</si>
</sst>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等线"/>
      <family val="2"/>
      <scheme val="minor"/>
    </font>
    <font>
      <vertAlign val="subscript"/>
      <sz val="12"/>
      <color theme="1"/>
      <name val="Times New Roman"/>
      <family val="1"/>
    </font>
    <font>
      <sz val="11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6" fontId="2" fillId="2" borderId="5" xfId="0" applyNumberFormat="1" applyFont="1" applyFill="1" applyBorder="1" applyAlignment="1">
      <alignment horizontal="center" vertical="center"/>
    </xf>
    <xf numFmtId="176" fontId="2" fillId="2" borderId="1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2"/>
  <sheetViews>
    <sheetView tabSelected="1" zoomScale="70" zoomScaleNormal="70" workbookViewId="0">
      <pane ySplit="1" topLeftCell="A2" activePane="bottomLeft" state="frozen"/>
      <selection pane="bottomLeft" activeCell="O11" sqref="O11"/>
    </sheetView>
  </sheetViews>
  <sheetFormatPr defaultRowHeight="19.95" customHeight="1" x14ac:dyDescent="0.25"/>
  <cols>
    <col min="1" max="1" width="9.6640625" style="2" customWidth="1"/>
    <col min="2" max="2" width="17.77734375" style="2" customWidth="1"/>
    <col min="3" max="3" width="8.109375" style="18" customWidth="1"/>
    <col min="4" max="4" width="7.109375" style="18" customWidth="1"/>
    <col min="5" max="5" width="7.77734375" style="18" customWidth="1"/>
    <col min="6" max="6" width="7.88671875" style="18" customWidth="1"/>
    <col min="7" max="8" width="18.5546875" style="2" customWidth="1"/>
    <col min="9" max="10" width="17" style="2" customWidth="1"/>
    <col min="11" max="12" width="18.6640625" style="2" customWidth="1"/>
    <col min="13" max="14" width="15.5546875" style="2" customWidth="1"/>
    <col min="15" max="16" width="17.21875" style="2" customWidth="1"/>
    <col min="17" max="17" width="18.88671875" style="2" customWidth="1"/>
    <col min="18" max="18" width="18.77734375" style="2" customWidth="1"/>
    <col min="19" max="19" width="20.77734375" style="17" customWidth="1"/>
    <col min="20" max="16384" width="8.88671875" style="2"/>
  </cols>
  <sheetData>
    <row r="1" spans="1:19" s="1" customFormat="1" ht="19.95" customHeight="1" x14ac:dyDescent="0.25">
      <c r="A1" s="3" t="s">
        <v>16</v>
      </c>
      <c r="B1" s="4" t="s">
        <v>0</v>
      </c>
      <c r="C1" s="7" t="s">
        <v>5</v>
      </c>
      <c r="D1" s="8" t="s">
        <v>6</v>
      </c>
      <c r="E1" s="9" t="s">
        <v>7</v>
      </c>
      <c r="F1" s="10" t="s">
        <v>8</v>
      </c>
      <c r="G1" s="12" t="s">
        <v>1</v>
      </c>
      <c r="H1" s="42" t="s">
        <v>15</v>
      </c>
      <c r="I1" s="13" t="s">
        <v>2</v>
      </c>
      <c r="J1" s="43" t="s">
        <v>17</v>
      </c>
      <c r="K1" s="14" t="s">
        <v>3</v>
      </c>
      <c r="L1" s="44" t="s">
        <v>18</v>
      </c>
      <c r="M1" s="5" t="s">
        <v>13</v>
      </c>
      <c r="N1" s="42" t="s">
        <v>19</v>
      </c>
      <c r="O1" s="13" t="s">
        <v>4</v>
      </c>
      <c r="P1" s="43" t="s">
        <v>20</v>
      </c>
      <c r="Q1" s="14" t="s">
        <v>14</v>
      </c>
      <c r="R1" s="45" t="s">
        <v>21</v>
      </c>
      <c r="S1" s="16" t="s">
        <v>23</v>
      </c>
    </row>
    <row r="2" spans="1:19" ht="25.05" customHeight="1" x14ac:dyDescent="0.25">
      <c r="A2" s="48">
        <v>1</v>
      </c>
      <c r="B2" s="4" t="s">
        <v>9</v>
      </c>
      <c r="C2" s="19">
        <v>0.51100000000000001</v>
      </c>
      <c r="D2" s="20">
        <v>2.0840000000000001</v>
      </c>
      <c r="E2" s="21">
        <v>1.5629999999999999</v>
      </c>
      <c r="F2" s="22">
        <v>0.39900000000000002</v>
      </c>
      <c r="G2" s="12">
        <v>45</v>
      </c>
      <c r="H2" s="54">
        <v>4</v>
      </c>
      <c r="I2" s="13">
        <v>30</v>
      </c>
      <c r="J2" s="57">
        <v>2</v>
      </c>
      <c r="K2" s="14">
        <v>35</v>
      </c>
      <c r="L2" s="51">
        <v>1</v>
      </c>
      <c r="M2" s="5">
        <v>30</v>
      </c>
      <c r="N2" s="54">
        <v>1</v>
      </c>
      <c r="O2" s="13">
        <v>40</v>
      </c>
      <c r="P2" s="57">
        <v>5</v>
      </c>
      <c r="Q2" s="14">
        <v>40</v>
      </c>
      <c r="R2" s="51">
        <v>2</v>
      </c>
      <c r="S2" s="23">
        <f>(G2*H2+I2*J2+K2*L2+M2*N2+O2*P2+Q2*R2)/15</f>
        <v>39</v>
      </c>
    </row>
    <row r="3" spans="1:19" ht="25.05" customHeight="1" x14ac:dyDescent="0.25">
      <c r="A3" s="49"/>
      <c r="B3" s="1" t="s">
        <v>10</v>
      </c>
      <c r="C3" s="7">
        <v>0.59399999999999997</v>
      </c>
      <c r="D3" s="8">
        <v>2.5619999999999998</v>
      </c>
      <c r="E3" s="9">
        <v>1.8919999999999999</v>
      </c>
      <c r="F3" s="10">
        <v>0.48099999999999998</v>
      </c>
      <c r="G3" s="24">
        <v>60</v>
      </c>
      <c r="H3" s="55">
        <v>3</v>
      </c>
      <c r="I3" s="25">
        <v>35</v>
      </c>
      <c r="J3" s="58">
        <v>1</v>
      </c>
      <c r="K3" s="15">
        <v>65</v>
      </c>
      <c r="L3" s="52">
        <v>2</v>
      </c>
      <c r="M3" s="6">
        <v>40</v>
      </c>
      <c r="N3" s="55">
        <v>2</v>
      </c>
      <c r="O3" s="25">
        <v>55</v>
      </c>
      <c r="P3" s="58">
        <v>4</v>
      </c>
      <c r="Q3" s="15">
        <v>55</v>
      </c>
      <c r="R3" s="52">
        <v>3</v>
      </c>
      <c r="S3" s="23">
        <f>(G3*H2+I3*J2+K3*L2+M3*N2+O3*P2+Q3*R2)/15</f>
        <v>53.333333333333336</v>
      </c>
    </row>
    <row r="4" spans="1:19" ht="25.05" customHeight="1" x14ac:dyDescent="0.25">
      <c r="A4" s="49"/>
      <c r="B4" s="1" t="s">
        <v>11</v>
      </c>
      <c r="C4" s="7">
        <v>0.66700000000000004</v>
      </c>
      <c r="D4" s="8">
        <v>2.899</v>
      </c>
      <c r="E4" s="9">
        <v>2.2330000000000001</v>
      </c>
      <c r="F4" s="10">
        <v>0.52500000000000002</v>
      </c>
      <c r="G4" s="24">
        <v>75</v>
      </c>
      <c r="H4" s="55">
        <v>4</v>
      </c>
      <c r="I4" s="25">
        <v>45</v>
      </c>
      <c r="J4" s="58">
        <v>1</v>
      </c>
      <c r="K4" s="15">
        <v>50</v>
      </c>
      <c r="L4" s="52">
        <v>3</v>
      </c>
      <c r="M4" s="6">
        <v>50</v>
      </c>
      <c r="N4" s="55">
        <v>2</v>
      </c>
      <c r="O4" s="25">
        <v>70</v>
      </c>
      <c r="P4" s="58">
        <v>3</v>
      </c>
      <c r="Q4" s="15">
        <v>70</v>
      </c>
      <c r="R4" s="52">
        <v>2</v>
      </c>
      <c r="S4" s="23">
        <f>(G4*H2+I4*J2+K4*L2+M4*N2+O4*P2+Q4*R2)/15</f>
        <v>65.333333333333329</v>
      </c>
    </row>
    <row r="5" spans="1:19" ht="25.05" customHeight="1" x14ac:dyDescent="0.25">
      <c r="A5" s="50"/>
      <c r="B5" s="11" t="s">
        <v>12</v>
      </c>
      <c r="C5" s="26">
        <v>0.72299999999999998</v>
      </c>
      <c r="D5" s="27">
        <v>3.238</v>
      </c>
      <c r="E5" s="28">
        <v>2.7450000000000001</v>
      </c>
      <c r="F5" s="29">
        <v>0.57399999999999995</v>
      </c>
      <c r="G5" s="30">
        <v>90</v>
      </c>
      <c r="H5" s="56">
        <v>3</v>
      </c>
      <c r="I5" s="31">
        <v>55</v>
      </c>
      <c r="J5" s="59">
        <v>2</v>
      </c>
      <c r="K5" s="32">
        <v>80</v>
      </c>
      <c r="L5" s="53">
        <v>1</v>
      </c>
      <c r="M5" s="33">
        <v>65</v>
      </c>
      <c r="N5" s="56">
        <v>1</v>
      </c>
      <c r="O5" s="31">
        <v>85</v>
      </c>
      <c r="P5" s="59">
        <v>5</v>
      </c>
      <c r="Q5" s="32">
        <v>85</v>
      </c>
      <c r="R5" s="53">
        <v>3</v>
      </c>
      <c r="S5" s="23">
        <f>(G5*H2+I5*J2+K5*L2+M5*N2+O5*P2+Q5*R2)/15</f>
        <v>80.666666666666671</v>
      </c>
    </row>
    <row r="6" spans="1:19" ht="25.05" customHeight="1" x14ac:dyDescent="0.25">
      <c r="A6" s="48">
        <v>2</v>
      </c>
      <c r="B6" s="4" t="s">
        <v>9</v>
      </c>
      <c r="C6" s="19">
        <v>0.498</v>
      </c>
      <c r="D6" s="20">
        <v>2.1669999999999998</v>
      </c>
      <c r="E6" s="21">
        <v>1.6120000000000001</v>
      </c>
      <c r="F6" s="22">
        <v>0.41199999999999998</v>
      </c>
      <c r="G6" s="12">
        <v>40</v>
      </c>
      <c r="H6" s="54">
        <v>4</v>
      </c>
      <c r="I6" s="13">
        <v>30</v>
      </c>
      <c r="J6" s="57">
        <v>1</v>
      </c>
      <c r="K6" s="14">
        <v>35</v>
      </c>
      <c r="L6" s="51">
        <v>2</v>
      </c>
      <c r="M6" s="5">
        <v>25</v>
      </c>
      <c r="N6" s="54">
        <v>1</v>
      </c>
      <c r="O6" s="13">
        <v>35</v>
      </c>
      <c r="P6" s="57">
        <v>4</v>
      </c>
      <c r="Q6" s="14">
        <v>40</v>
      </c>
      <c r="R6" s="51">
        <v>3</v>
      </c>
      <c r="S6" s="23">
        <f>(G6*H6+I6*J6+K6*L6+M6*N6+O6*P6+Q6*R6)/15</f>
        <v>36.333333333333336</v>
      </c>
    </row>
    <row r="7" spans="1:19" ht="25.05" customHeight="1" x14ac:dyDescent="0.25">
      <c r="A7" s="49"/>
      <c r="B7" s="1" t="s">
        <v>10</v>
      </c>
      <c r="C7" s="7">
        <v>0.57099999999999995</v>
      </c>
      <c r="D7" s="8">
        <v>2.4359999999999999</v>
      </c>
      <c r="E7" s="9">
        <v>1.873</v>
      </c>
      <c r="F7" s="10">
        <v>0.46800000000000003</v>
      </c>
      <c r="G7" s="24">
        <v>55</v>
      </c>
      <c r="H7" s="55">
        <v>3</v>
      </c>
      <c r="I7" s="25">
        <v>40</v>
      </c>
      <c r="J7" s="58">
        <v>1</v>
      </c>
      <c r="K7" s="15">
        <v>50</v>
      </c>
      <c r="L7" s="52">
        <v>1</v>
      </c>
      <c r="M7" s="6">
        <v>35</v>
      </c>
      <c r="N7" s="55">
        <v>2</v>
      </c>
      <c r="O7" s="25">
        <v>50</v>
      </c>
      <c r="P7" s="58">
        <v>5</v>
      </c>
      <c r="Q7" s="15">
        <v>55</v>
      </c>
      <c r="R7" s="52">
        <v>3</v>
      </c>
      <c r="S7" s="23">
        <f>(G7*H6+I7*J6+K7*L6+M7*N6+O7*P6+Q7*R6)/15</f>
        <v>50.666666666666664</v>
      </c>
    </row>
    <row r="8" spans="1:19" ht="25.05" customHeight="1" x14ac:dyDescent="0.25">
      <c r="A8" s="49"/>
      <c r="B8" s="1" t="s">
        <v>11</v>
      </c>
      <c r="C8" s="7">
        <v>0.64900000000000002</v>
      </c>
      <c r="D8" s="8">
        <v>2.782</v>
      </c>
      <c r="E8" s="9">
        <v>2.1560000000000001</v>
      </c>
      <c r="F8" s="10">
        <v>0.52300000000000002</v>
      </c>
      <c r="G8" s="24">
        <v>70</v>
      </c>
      <c r="H8" s="55">
        <v>4</v>
      </c>
      <c r="I8" s="25">
        <v>50</v>
      </c>
      <c r="J8" s="58">
        <v>2</v>
      </c>
      <c r="K8" s="15">
        <v>65</v>
      </c>
      <c r="L8" s="52">
        <v>1</v>
      </c>
      <c r="M8" s="6">
        <v>50</v>
      </c>
      <c r="N8" s="55">
        <v>1</v>
      </c>
      <c r="O8" s="25">
        <v>65</v>
      </c>
      <c r="P8" s="58">
        <v>3</v>
      </c>
      <c r="Q8" s="15">
        <v>70</v>
      </c>
      <c r="R8" s="52">
        <v>4</v>
      </c>
      <c r="S8" s="23">
        <f>(G8*H6+I8*J6+K8*L6+M8*N6+O8*P6+Q8*R6)/15</f>
        <v>65.333333333333329</v>
      </c>
    </row>
    <row r="9" spans="1:19" ht="25.05" customHeight="1" x14ac:dyDescent="0.25">
      <c r="A9" s="50"/>
      <c r="B9" s="11" t="s">
        <v>12</v>
      </c>
      <c r="C9" s="26">
        <v>0.70799999999999996</v>
      </c>
      <c r="D9" s="27">
        <v>3.105</v>
      </c>
      <c r="E9" s="28">
        <v>2.6030000000000002</v>
      </c>
      <c r="F9" s="29">
        <v>0.56100000000000005</v>
      </c>
      <c r="G9" s="30">
        <v>85</v>
      </c>
      <c r="H9" s="56">
        <v>3</v>
      </c>
      <c r="I9" s="31">
        <v>60</v>
      </c>
      <c r="J9" s="59">
        <v>1</v>
      </c>
      <c r="K9" s="32">
        <v>80</v>
      </c>
      <c r="L9" s="53">
        <v>2</v>
      </c>
      <c r="M9" s="33">
        <v>65</v>
      </c>
      <c r="N9" s="56">
        <v>1</v>
      </c>
      <c r="O9" s="31">
        <v>80</v>
      </c>
      <c r="P9" s="59">
        <v>5</v>
      </c>
      <c r="Q9" s="32">
        <v>85</v>
      </c>
      <c r="R9" s="53">
        <v>3</v>
      </c>
      <c r="S9" s="23">
        <f>(G9*H6+I9*J6+K9*L6+M9*N6+O9*P6+Q9*R6)/15</f>
        <v>80</v>
      </c>
    </row>
    <row r="10" spans="1:19" ht="25.05" customHeight="1" x14ac:dyDescent="0.25">
      <c r="A10" s="48">
        <v>3</v>
      </c>
      <c r="B10" s="4" t="s">
        <v>9</v>
      </c>
      <c r="C10" s="34">
        <v>0.51600000000000001</v>
      </c>
      <c r="D10" s="35">
        <v>2.0550000000000002</v>
      </c>
      <c r="E10" s="36">
        <v>1.5780000000000001</v>
      </c>
      <c r="F10" s="37">
        <v>0.39900000000000002</v>
      </c>
      <c r="G10" s="12">
        <v>50</v>
      </c>
      <c r="H10" s="54">
        <v>4</v>
      </c>
      <c r="I10" s="13">
        <v>35</v>
      </c>
      <c r="J10" s="57">
        <v>1</v>
      </c>
      <c r="K10" s="14">
        <v>40</v>
      </c>
      <c r="L10" s="51">
        <v>3</v>
      </c>
      <c r="M10" s="5">
        <v>30</v>
      </c>
      <c r="N10" s="54">
        <v>2</v>
      </c>
      <c r="O10" s="13">
        <v>35</v>
      </c>
      <c r="P10" s="57">
        <v>3</v>
      </c>
      <c r="Q10" s="14">
        <v>45</v>
      </c>
      <c r="R10" s="51">
        <v>2</v>
      </c>
      <c r="S10" s="64">
        <f>(G10*H10+I10*J10+K10*L10+M10*N10+O10*P10+Q10*R10)/15</f>
        <v>40.666666666666664</v>
      </c>
    </row>
    <row r="11" spans="1:19" ht="25.05" customHeight="1" x14ac:dyDescent="0.25">
      <c r="A11" s="49"/>
      <c r="B11" s="1" t="s">
        <v>10</v>
      </c>
      <c r="C11" s="34">
        <v>0.60099999999999998</v>
      </c>
      <c r="D11" s="35">
        <v>2.423</v>
      </c>
      <c r="E11" s="36">
        <v>1.917</v>
      </c>
      <c r="F11" s="37">
        <v>0.45100000000000001</v>
      </c>
      <c r="G11" s="24">
        <v>65</v>
      </c>
      <c r="H11" s="55">
        <v>3</v>
      </c>
      <c r="I11" s="25">
        <v>55</v>
      </c>
      <c r="J11" s="58">
        <v>2</v>
      </c>
      <c r="K11" s="15">
        <v>55</v>
      </c>
      <c r="L11" s="52">
        <v>1</v>
      </c>
      <c r="M11" s="6">
        <v>40</v>
      </c>
      <c r="N11" s="55">
        <v>1</v>
      </c>
      <c r="O11" s="25">
        <v>50</v>
      </c>
      <c r="P11" s="58">
        <v>5</v>
      </c>
      <c r="Q11" s="15">
        <v>60</v>
      </c>
      <c r="R11" s="52">
        <v>3</v>
      </c>
      <c r="S11" s="64">
        <f>(G11*H10+I11*J10+K11*L10+M11*N10+O11*P10+Q11*R10)/15</f>
        <v>55.333333333333336</v>
      </c>
    </row>
    <row r="12" spans="1:19" ht="25.05" customHeight="1" x14ac:dyDescent="0.25">
      <c r="A12" s="49"/>
      <c r="B12" s="1" t="s">
        <v>11</v>
      </c>
      <c r="C12" s="34">
        <v>0.66900000000000004</v>
      </c>
      <c r="D12" s="35">
        <v>2.726</v>
      </c>
      <c r="E12" s="36">
        <v>2.1890000000000001</v>
      </c>
      <c r="F12" s="37">
        <v>0.51100000000000001</v>
      </c>
      <c r="G12" s="24">
        <v>80</v>
      </c>
      <c r="H12" s="55">
        <v>4</v>
      </c>
      <c r="I12" s="25">
        <v>45</v>
      </c>
      <c r="J12" s="58">
        <v>1</v>
      </c>
      <c r="K12" s="15">
        <v>70</v>
      </c>
      <c r="L12" s="52">
        <v>2</v>
      </c>
      <c r="M12" s="6">
        <v>50</v>
      </c>
      <c r="N12" s="55">
        <v>2</v>
      </c>
      <c r="O12" s="25">
        <v>65</v>
      </c>
      <c r="P12" s="58">
        <v>3</v>
      </c>
      <c r="Q12" s="15">
        <v>75</v>
      </c>
      <c r="R12" s="52">
        <v>3</v>
      </c>
      <c r="S12" s="64">
        <f>(G12*H10+I12*J10+K12*L10+M12*N10+O12*P10+Q12*R10)/15</f>
        <v>68</v>
      </c>
    </row>
    <row r="13" spans="1:19" ht="25.05" customHeight="1" x14ac:dyDescent="0.25">
      <c r="A13" s="50"/>
      <c r="B13" s="11" t="s">
        <v>12</v>
      </c>
      <c r="C13" s="38">
        <v>0.72</v>
      </c>
      <c r="D13" s="39">
        <v>3.0459999999999998</v>
      </c>
      <c r="E13" s="40">
        <v>2.7189999999999999</v>
      </c>
      <c r="F13" s="41">
        <v>0.56200000000000006</v>
      </c>
      <c r="G13" s="30">
        <v>95</v>
      </c>
      <c r="H13" s="56">
        <v>3</v>
      </c>
      <c r="I13" s="31">
        <v>65</v>
      </c>
      <c r="J13" s="59">
        <v>3</v>
      </c>
      <c r="K13" s="32">
        <v>85</v>
      </c>
      <c r="L13" s="53">
        <v>1</v>
      </c>
      <c r="M13" s="33">
        <v>65</v>
      </c>
      <c r="N13" s="56">
        <v>2</v>
      </c>
      <c r="O13" s="31">
        <v>80</v>
      </c>
      <c r="P13" s="59">
        <v>4</v>
      </c>
      <c r="Q13" s="32">
        <v>90</v>
      </c>
      <c r="R13" s="53">
        <v>2</v>
      </c>
      <c r="S13" s="63">
        <f>(G13*H10+I13*J10+K13*L10+M13*N10+O13*P10+Q13*R10)/15</f>
        <v>83.333333333333329</v>
      </c>
    </row>
    <row r="14" spans="1:19" ht="25.05" customHeight="1" x14ac:dyDescent="0.25">
      <c r="A14" s="48">
        <v>4</v>
      </c>
      <c r="B14" s="4" t="s">
        <v>9</v>
      </c>
      <c r="C14" s="34">
        <v>0.499</v>
      </c>
      <c r="D14" s="35">
        <v>2.1680000000000001</v>
      </c>
      <c r="E14" s="36">
        <v>1.631</v>
      </c>
      <c r="F14" s="37">
        <v>0.39</v>
      </c>
      <c r="G14" s="12">
        <v>40</v>
      </c>
      <c r="H14" s="54">
        <v>3</v>
      </c>
      <c r="I14" s="13">
        <v>25</v>
      </c>
      <c r="J14" s="57">
        <v>2</v>
      </c>
      <c r="K14" s="14">
        <v>35</v>
      </c>
      <c r="L14" s="51">
        <v>3</v>
      </c>
      <c r="M14" s="5">
        <v>30</v>
      </c>
      <c r="N14" s="54">
        <v>1</v>
      </c>
      <c r="O14" s="13">
        <v>35</v>
      </c>
      <c r="P14" s="57">
        <v>3</v>
      </c>
      <c r="Q14" s="14">
        <v>40</v>
      </c>
      <c r="R14" s="51">
        <v>3</v>
      </c>
      <c r="S14" s="23">
        <f>(G14*H14+I14*J14+K14*L14+M14*N14+O14*P14+Q14*R14)/15</f>
        <v>35.333333333333336</v>
      </c>
    </row>
    <row r="15" spans="1:19" ht="25.05" customHeight="1" x14ac:dyDescent="0.25">
      <c r="A15" s="49"/>
      <c r="B15" s="1" t="s">
        <v>10</v>
      </c>
      <c r="C15" s="34">
        <v>0.58499999999999996</v>
      </c>
      <c r="D15" s="35">
        <v>2.5379999999999998</v>
      </c>
      <c r="E15" s="36">
        <v>1.915</v>
      </c>
      <c r="F15" s="37">
        <v>0.443</v>
      </c>
      <c r="G15" s="24">
        <v>55</v>
      </c>
      <c r="H15" s="55">
        <v>3</v>
      </c>
      <c r="I15" s="25">
        <v>35</v>
      </c>
      <c r="J15" s="58">
        <v>3</v>
      </c>
      <c r="K15" s="15">
        <v>50</v>
      </c>
      <c r="L15" s="52">
        <v>2</v>
      </c>
      <c r="M15" s="6">
        <v>40</v>
      </c>
      <c r="N15" s="55">
        <v>1</v>
      </c>
      <c r="O15" s="25">
        <v>50</v>
      </c>
      <c r="P15" s="58">
        <v>4</v>
      </c>
      <c r="Q15" s="15">
        <v>55</v>
      </c>
      <c r="R15" s="52">
        <v>2</v>
      </c>
      <c r="S15" s="23">
        <f>(G15*H14+I15*J14+K15*L14+M15*N14+O15*P14+Q15*R14)/15</f>
        <v>49.333333333333336</v>
      </c>
    </row>
    <row r="16" spans="1:19" ht="25.05" customHeight="1" x14ac:dyDescent="0.25">
      <c r="A16" s="49"/>
      <c r="B16" s="1" t="s">
        <v>11</v>
      </c>
      <c r="C16" s="34">
        <v>0.66400000000000003</v>
      </c>
      <c r="D16" s="35">
        <v>2.8719999999999999</v>
      </c>
      <c r="E16" s="36">
        <v>2.1739999999999999</v>
      </c>
      <c r="F16" s="37">
        <v>0.495</v>
      </c>
      <c r="G16" s="24">
        <v>70</v>
      </c>
      <c r="H16" s="55">
        <v>4</v>
      </c>
      <c r="I16" s="25">
        <v>45</v>
      </c>
      <c r="J16" s="58">
        <v>1</v>
      </c>
      <c r="K16" s="15">
        <v>65</v>
      </c>
      <c r="L16" s="52">
        <v>1</v>
      </c>
      <c r="M16" s="6">
        <v>55</v>
      </c>
      <c r="N16" s="55">
        <v>2</v>
      </c>
      <c r="O16" s="25">
        <v>65</v>
      </c>
      <c r="P16" s="58">
        <v>5</v>
      </c>
      <c r="Q16" s="15">
        <v>70</v>
      </c>
      <c r="R16" s="52">
        <v>2</v>
      </c>
      <c r="S16" s="23">
        <f>(G16*H14+I16*J14+K16*L14+M16*N14+O16*P14+Q16*R14)/15</f>
        <v>63.666666666666664</v>
      </c>
    </row>
    <row r="17" spans="1:19" ht="25.05" customHeight="1" x14ac:dyDescent="0.25">
      <c r="A17" s="50"/>
      <c r="B17" s="11" t="s">
        <v>12</v>
      </c>
      <c r="C17" s="38">
        <v>0.73899999999999999</v>
      </c>
      <c r="D17" s="39">
        <v>3.2320000000000002</v>
      </c>
      <c r="E17" s="40">
        <v>2.7349999999999999</v>
      </c>
      <c r="F17" s="41">
        <v>0.55000000000000004</v>
      </c>
      <c r="G17" s="30">
        <v>85</v>
      </c>
      <c r="H17" s="56">
        <v>3</v>
      </c>
      <c r="I17" s="31">
        <v>55</v>
      </c>
      <c r="J17" s="59">
        <v>2</v>
      </c>
      <c r="K17" s="32">
        <v>80</v>
      </c>
      <c r="L17" s="53">
        <v>3</v>
      </c>
      <c r="M17" s="33">
        <v>70</v>
      </c>
      <c r="N17" s="56">
        <v>1</v>
      </c>
      <c r="O17" s="31">
        <v>80</v>
      </c>
      <c r="P17" s="59">
        <v>3</v>
      </c>
      <c r="Q17" s="32">
        <v>85</v>
      </c>
      <c r="R17" s="53">
        <v>3</v>
      </c>
      <c r="S17" s="23">
        <f>(G17*H14+I17*J14+K17*L14+M17*N14+O17*P14+Q17*R14)/15</f>
        <v>78</v>
      </c>
    </row>
    <row r="18" spans="1:19" ht="19.95" customHeight="1" x14ac:dyDescent="0.25">
      <c r="A18" s="48">
        <v>5</v>
      </c>
      <c r="B18" s="4" t="s">
        <v>9</v>
      </c>
      <c r="C18" s="34">
        <v>0.51100000000000001</v>
      </c>
      <c r="D18" s="35">
        <v>2.2450000000000001</v>
      </c>
      <c r="E18" s="36">
        <v>1.5880000000000001</v>
      </c>
      <c r="F18" s="37">
        <v>0.41199999999999998</v>
      </c>
      <c r="G18" s="12">
        <v>50</v>
      </c>
      <c r="H18" s="54">
        <v>4</v>
      </c>
      <c r="I18" s="13">
        <v>35</v>
      </c>
      <c r="J18" s="57">
        <v>1</v>
      </c>
      <c r="K18" s="14">
        <v>40</v>
      </c>
      <c r="L18" s="51">
        <v>2</v>
      </c>
      <c r="M18" s="5">
        <v>30</v>
      </c>
      <c r="N18" s="54">
        <v>3</v>
      </c>
      <c r="O18" s="13">
        <v>40</v>
      </c>
      <c r="P18" s="57">
        <v>3</v>
      </c>
      <c r="Q18" s="14">
        <v>45</v>
      </c>
      <c r="R18" s="51">
        <v>2</v>
      </c>
      <c r="S18" s="23">
        <f>(G18*H18+I18*J18+K18*L18+M18*N18+O18*P18+Q18*R18)/15</f>
        <v>41</v>
      </c>
    </row>
    <row r="19" spans="1:19" ht="19.95" customHeight="1" x14ac:dyDescent="0.25">
      <c r="A19" s="49"/>
      <c r="B19" s="1" t="s">
        <v>10</v>
      </c>
      <c r="C19" s="34">
        <v>0.59799999999999998</v>
      </c>
      <c r="D19" s="35">
        <v>2.6070000000000002</v>
      </c>
      <c r="E19" s="36">
        <v>1.9239999999999999</v>
      </c>
      <c r="F19" s="37">
        <v>0.47399999999999998</v>
      </c>
      <c r="G19" s="24">
        <v>65</v>
      </c>
      <c r="H19" s="55">
        <v>3</v>
      </c>
      <c r="I19" s="25">
        <v>45</v>
      </c>
      <c r="J19" s="58">
        <v>1</v>
      </c>
      <c r="K19" s="15">
        <v>55</v>
      </c>
      <c r="L19" s="52">
        <v>1</v>
      </c>
      <c r="M19" s="6">
        <v>40</v>
      </c>
      <c r="N19" s="55">
        <v>2</v>
      </c>
      <c r="O19" s="25">
        <v>55</v>
      </c>
      <c r="P19" s="58">
        <v>5</v>
      </c>
      <c r="Q19" s="15">
        <v>60</v>
      </c>
      <c r="R19" s="52">
        <v>3</v>
      </c>
      <c r="S19" s="23">
        <f>(G19*H18+I19*J18+K19*L18+M19*N18+O19*P18+Q19*R18)/15</f>
        <v>54.666666666666664</v>
      </c>
    </row>
    <row r="20" spans="1:19" ht="19.95" customHeight="1" x14ac:dyDescent="0.25">
      <c r="A20" s="49"/>
      <c r="B20" s="1" t="s">
        <v>11</v>
      </c>
      <c r="C20" s="34">
        <v>0.67200000000000004</v>
      </c>
      <c r="D20" s="35">
        <v>2.9119999999999999</v>
      </c>
      <c r="E20" s="36">
        <v>2.1970000000000001</v>
      </c>
      <c r="F20" s="37">
        <v>0.53</v>
      </c>
      <c r="G20" s="24">
        <v>80</v>
      </c>
      <c r="H20" s="55">
        <v>4</v>
      </c>
      <c r="I20" s="25">
        <v>55</v>
      </c>
      <c r="J20" s="58">
        <v>2</v>
      </c>
      <c r="K20" s="15">
        <v>70</v>
      </c>
      <c r="L20" s="52">
        <v>1</v>
      </c>
      <c r="M20" s="6">
        <v>55</v>
      </c>
      <c r="N20" s="55">
        <v>1</v>
      </c>
      <c r="O20" s="25">
        <v>70</v>
      </c>
      <c r="P20" s="58">
        <v>4</v>
      </c>
      <c r="Q20" s="15">
        <v>75</v>
      </c>
      <c r="R20" s="52">
        <v>3</v>
      </c>
      <c r="S20" s="23">
        <f>(G20*H18+I20*J18+K20*L18+M20*N18+O20*P18+Q20*R18)/15</f>
        <v>69.333333333333329</v>
      </c>
    </row>
    <row r="21" spans="1:19" ht="19.95" customHeight="1" x14ac:dyDescent="0.25">
      <c r="A21" s="50"/>
      <c r="B21" s="11" t="s">
        <v>12</v>
      </c>
      <c r="C21" s="38">
        <v>0.72399999999999998</v>
      </c>
      <c r="D21" s="39">
        <v>3.2349999999999999</v>
      </c>
      <c r="E21" s="40">
        <v>2.617</v>
      </c>
      <c r="F21" s="41">
        <v>0.57599999999999996</v>
      </c>
      <c r="G21" s="30">
        <v>95</v>
      </c>
      <c r="H21" s="56">
        <v>3</v>
      </c>
      <c r="I21" s="31">
        <v>65</v>
      </c>
      <c r="J21" s="59">
        <v>1</v>
      </c>
      <c r="K21" s="32">
        <v>85</v>
      </c>
      <c r="L21" s="53">
        <v>2</v>
      </c>
      <c r="M21" s="33">
        <v>70</v>
      </c>
      <c r="N21" s="56">
        <v>1</v>
      </c>
      <c r="O21" s="31">
        <v>85</v>
      </c>
      <c r="P21" s="59">
        <v>4</v>
      </c>
      <c r="Q21" s="32">
        <v>90</v>
      </c>
      <c r="R21" s="53">
        <v>4</v>
      </c>
      <c r="S21" s="23">
        <f>(G21*H18+I21*J18+K21*L18+M21*N18+O21*P18+Q21*R18)/15</f>
        <v>84</v>
      </c>
    </row>
    <row r="22" spans="1:19" ht="19.95" customHeight="1" x14ac:dyDescent="0.25">
      <c r="A22" s="48">
        <v>6</v>
      </c>
      <c r="B22" s="4" t="s">
        <v>9</v>
      </c>
      <c r="C22" s="34">
        <v>0.51500000000000001</v>
      </c>
      <c r="D22" s="35">
        <v>2.1230000000000002</v>
      </c>
      <c r="E22" s="36">
        <v>1.587</v>
      </c>
      <c r="F22" s="37">
        <v>0.39800000000000002</v>
      </c>
      <c r="G22" s="12">
        <v>45</v>
      </c>
      <c r="H22" s="54">
        <v>4</v>
      </c>
      <c r="I22" s="13">
        <v>30</v>
      </c>
      <c r="J22" s="57">
        <v>1</v>
      </c>
      <c r="K22" s="14">
        <v>35</v>
      </c>
      <c r="L22" s="51">
        <v>3</v>
      </c>
      <c r="M22" s="5">
        <v>25</v>
      </c>
      <c r="N22" s="54">
        <v>2</v>
      </c>
      <c r="O22" s="13">
        <v>40</v>
      </c>
      <c r="P22" s="57">
        <v>3</v>
      </c>
      <c r="Q22" s="14">
        <v>45</v>
      </c>
      <c r="R22" s="51">
        <v>2</v>
      </c>
      <c r="S22" s="23">
        <f>(G22*H22+I22*J22+K22*L22+M22*N22+O22*P22+Q22*R22)/15</f>
        <v>38.333333333333336</v>
      </c>
    </row>
    <row r="23" spans="1:19" ht="19.95" customHeight="1" x14ac:dyDescent="0.25">
      <c r="A23" s="49"/>
      <c r="B23" s="1" t="s">
        <v>10</v>
      </c>
      <c r="C23" s="34">
        <v>0.59</v>
      </c>
      <c r="D23" s="35">
        <v>2.5169999999999999</v>
      </c>
      <c r="E23" s="36">
        <v>1.9019999999999999</v>
      </c>
      <c r="F23" s="37">
        <v>0.46</v>
      </c>
      <c r="G23" s="24">
        <v>60</v>
      </c>
      <c r="H23" s="55">
        <v>3</v>
      </c>
      <c r="I23" s="25">
        <v>40</v>
      </c>
      <c r="J23" s="58">
        <v>2</v>
      </c>
      <c r="K23" s="15">
        <v>50</v>
      </c>
      <c r="L23" s="52">
        <v>1</v>
      </c>
      <c r="M23" s="6">
        <v>35</v>
      </c>
      <c r="N23" s="55">
        <v>2</v>
      </c>
      <c r="O23" s="25">
        <v>70</v>
      </c>
      <c r="P23" s="58">
        <v>4</v>
      </c>
      <c r="Q23" s="15">
        <v>60</v>
      </c>
      <c r="R23" s="52">
        <v>3</v>
      </c>
      <c r="S23" s="23">
        <f>(G23*H22+I23*J22+K23*L22+M23*N22+O23*P22+Q23*R22)/15</f>
        <v>55.333333333333336</v>
      </c>
    </row>
    <row r="24" spans="1:19" ht="19.95" customHeight="1" x14ac:dyDescent="0.25">
      <c r="A24" s="49"/>
      <c r="B24" s="1" t="s">
        <v>11</v>
      </c>
      <c r="C24" s="34">
        <v>0.65300000000000002</v>
      </c>
      <c r="D24" s="35">
        <v>2.89</v>
      </c>
      <c r="E24" s="36">
        <v>2.1680000000000001</v>
      </c>
      <c r="F24" s="37">
        <v>0.51800000000000002</v>
      </c>
      <c r="G24" s="24">
        <v>75</v>
      </c>
      <c r="H24" s="55">
        <v>4</v>
      </c>
      <c r="I24" s="25">
        <v>50</v>
      </c>
      <c r="J24" s="58">
        <v>1</v>
      </c>
      <c r="K24" s="15">
        <v>65</v>
      </c>
      <c r="L24" s="52">
        <v>2</v>
      </c>
      <c r="M24" s="6">
        <v>50</v>
      </c>
      <c r="N24" s="55">
        <v>1</v>
      </c>
      <c r="O24" s="25">
        <v>60</v>
      </c>
      <c r="P24" s="58">
        <v>3</v>
      </c>
      <c r="Q24" s="15">
        <v>75</v>
      </c>
      <c r="R24" s="52">
        <v>4</v>
      </c>
      <c r="S24" s="23">
        <f>(G24*H22+I24*J22+K24*L22+M24*N22+O24*P22+Q24*R22)/15</f>
        <v>65</v>
      </c>
    </row>
    <row r="25" spans="1:19" ht="19.95" customHeight="1" x14ac:dyDescent="0.25">
      <c r="A25" s="50"/>
      <c r="B25" s="11" t="s">
        <v>12</v>
      </c>
      <c r="C25" s="38">
        <v>0.73299999999999998</v>
      </c>
      <c r="D25" s="39">
        <v>3.254</v>
      </c>
      <c r="E25" s="40">
        <v>2.6789999999999998</v>
      </c>
      <c r="F25" s="41">
        <v>0.57199999999999995</v>
      </c>
      <c r="G25" s="30">
        <v>90</v>
      </c>
      <c r="H25" s="56">
        <v>3</v>
      </c>
      <c r="I25" s="31">
        <v>60</v>
      </c>
      <c r="J25" s="59">
        <v>1</v>
      </c>
      <c r="K25" s="32">
        <v>80</v>
      </c>
      <c r="L25" s="53">
        <v>1</v>
      </c>
      <c r="M25" s="33">
        <v>65</v>
      </c>
      <c r="N25" s="56">
        <v>2</v>
      </c>
      <c r="O25" s="31">
        <v>85</v>
      </c>
      <c r="P25" s="59">
        <v>5</v>
      </c>
      <c r="Q25" s="32">
        <v>90</v>
      </c>
      <c r="R25" s="53">
        <v>3</v>
      </c>
      <c r="S25" s="23">
        <f>(G25*H22+I25*J22+K25*L22+M25*N22+O25*P22+Q25*R22)/15</f>
        <v>81.666666666666671</v>
      </c>
    </row>
    <row r="26" spans="1:19" ht="19.95" customHeight="1" x14ac:dyDescent="0.25">
      <c r="A26" s="48">
        <v>7</v>
      </c>
      <c r="B26" s="4" t="s">
        <v>9</v>
      </c>
      <c r="C26" s="34">
        <v>0.52400000000000002</v>
      </c>
      <c r="D26" s="35">
        <v>2.2050000000000001</v>
      </c>
      <c r="E26" s="36">
        <v>1.573</v>
      </c>
      <c r="F26" s="37">
        <v>0.39100000000000001</v>
      </c>
      <c r="G26" s="12">
        <v>45</v>
      </c>
      <c r="H26" s="54">
        <v>4</v>
      </c>
      <c r="I26" s="13">
        <v>35</v>
      </c>
      <c r="J26" s="57">
        <v>2</v>
      </c>
      <c r="K26" s="14">
        <v>40</v>
      </c>
      <c r="L26" s="51">
        <v>1</v>
      </c>
      <c r="M26" s="5">
        <v>30</v>
      </c>
      <c r="N26" s="54">
        <v>1</v>
      </c>
      <c r="O26" s="13">
        <v>35</v>
      </c>
      <c r="P26" s="57">
        <v>4</v>
      </c>
      <c r="Q26" s="14">
        <v>45</v>
      </c>
      <c r="R26" s="51">
        <v>3</v>
      </c>
      <c r="S26" s="23">
        <f>(G26*H26+I26*J26+K26*L26+M26*N26+O26*P26+Q26*R26)/15</f>
        <v>39.666666666666664</v>
      </c>
    </row>
    <row r="27" spans="1:19" ht="19.95" customHeight="1" x14ac:dyDescent="0.25">
      <c r="A27" s="49"/>
      <c r="B27" s="1" t="s">
        <v>10</v>
      </c>
      <c r="C27" s="34">
        <v>0.6</v>
      </c>
      <c r="D27" s="35">
        <v>2.532</v>
      </c>
      <c r="E27" s="36">
        <v>1.8440000000000001</v>
      </c>
      <c r="F27" s="37">
        <v>0.46</v>
      </c>
      <c r="G27" s="24">
        <v>60</v>
      </c>
      <c r="H27" s="55">
        <v>3</v>
      </c>
      <c r="I27" s="25">
        <v>45</v>
      </c>
      <c r="J27" s="58">
        <v>1</v>
      </c>
      <c r="K27" s="15">
        <v>55</v>
      </c>
      <c r="L27" s="52">
        <v>2</v>
      </c>
      <c r="M27" s="6">
        <v>40</v>
      </c>
      <c r="N27" s="55">
        <v>1</v>
      </c>
      <c r="O27" s="25">
        <v>50</v>
      </c>
      <c r="P27" s="58">
        <v>5</v>
      </c>
      <c r="Q27" s="15">
        <v>60</v>
      </c>
      <c r="R27" s="52">
        <v>3</v>
      </c>
      <c r="S27" s="23">
        <f>(G27*H26+I27*J26+K27*L26+M27*N26+O27*P26+Q27*R26)/15</f>
        <v>53.666666666666664</v>
      </c>
    </row>
    <row r="28" spans="1:19" ht="19.95" customHeight="1" x14ac:dyDescent="0.25">
      <c r="A28" s="49"/>
      <c r="B28" s="1" t="s">
        <v>11</v>
      </c>
      <c r="C28" s="34">
        <v>0.67800000000000005</v>
      </c>
      <c r="D28" s="35">
        <v>2.863</v>
      </c>
      <c r="E28" s="36">
        <v>2.16</v>
      </c>
      <c r="F28" s="37">
        <v>0.51800000000000002</v>
      </c>
      <c r="G28" s="24">
        <v>75</v>
      </c>
      <c r="H28" s="55">
        <v>4</v>
      </c>
      <c r="I28" s="25">
        <v>55</v>
      </c>
      <c r="J28" s="58">
        <v>1</v>
      </c>
      <c r="K28" s="15">
        <v>70</v>
      </c>
      <c r="L28" s="52">
        <v>1</v>
      </c>
      <c r="M28" s="6">
        <v>50</v>
      </c>
      <c r="N28" s="55">
        <v>2</v>
      </c>
      <c r="O28" s="25">
        <v>65</v>
      </c>
      <c r="P28" s="58">
        <v>5</v>
      </c>
      <c r="Q28" s="15">
        <v>75</v>
      </c>
      <c r="R28" s="52">
        <v>2</v>
      </c>
      <c r="S28" s="23">
        <f>(G28*H26+I28*J26+K28*L26+M28*N26+O28*P26+Q28*R26)/15</f>
        <v>67.666666666666671</v>
      </c>
    </row>
    <row r="29" spans="1:19" ht="19.95" customHeight="1" x14ac:dyDescent="0.25">
      <c r="A29" s="50"/>
      <c r="B29" s="11" t="s">
        <v>12</v>
      </c>
      <c r="C29" s="38">
        <v>0.755</v>
      </c>
      <c r="D29" s="39">
        <v>3.2090000000000001</v>
      </c>
      <c r="E29" s="40">
        <v>2.613</v>
      </c>
      <c r="F29" s="41">
        <v>0.56299999999999994</v>
      </c>
      <c r="G29" s="30">
        <v>90</v>
      </c>
      <c r="H29" s="56">
        <v>4</v>
      </c>
      <c r="I29" s="31">
        <v>65</v>
      </c>
      <c r="J29" s="59">
        <v>2</v>
      </c>
      <c r="K29" s="32">
        <v>85</v>
      </c>
      <c r="L29" s="53">
        <v>1</v>
      </c>
      <c r="M29" s="33">
        <v>65</v>
      </c>
      <c r="N29" s="56">
        <v>1</v>
      </c>
      <c r="O29" s="31">
        <v>80</v>
      </c>
      <c r="P29" s="59">
        <v>5</v>
      </c>
      <c r="Q29" s="32">
        <v>90</v>
      </c>
      <c r="R29" s="53">
        <v>2</v>
      </c>
      <c r="S29" s="23">
        <f>(G29*H26+I29*J26+K29*L26+M29*N26+O29*P26+Q29*R26)/15</f>
        <v>82</v>
      </c>
    </row>
    <row r="30" spans="1:19" ht="19.95" customHeight="1" x14ac:dyDescent="0.25">
      <c r="A30" s="48">
        <v>8</v>
      </c>
      <c r="B30" s="4" t="s">
        <v>9</v>
      </c>
      <c r="C30" s="34">
        <v>0.51200000000000001</v>
      </c>
      <c r="D30" s="35">
        <v>2.1030000000000002</v>
      </c>
      <c r="E30" s="36">
        <v>1.6080000000000001</v>
      </c>
      <c r="F30" s="37">
        <v>0.42599999999999999</v>
      </c>
      <c r="G30" s="12">
        <v>40</v>
      </c>
      <c r="H30" s="54">
        <v>3</v>
      </c>
      <c r="I30" s="13">
        <v>30</v>
      </c>
      <c r="J30" s="57">
        <v>1</v>
      </c>
      <c r="K30" s="14">
        <v>35</v>
      </c>
      <c r="L30" s="51">
        <v>2</v>
      </c>
      <c r="M30" s="5">
        <v>30</v>
      </c>
      <c r="N30" s="54">
        <v>2</v>
      </c>
      <c r="O30" s="13">
        <v>35</v>
      </c>
      <c r="P30" s="57">
        <v>4</v>
      </c>
      <c r="Q30" s="14">
        <v>40</v>
      </c>
      <c r="R30" s="51">
        <v>3</v>
      </c>
      <c r="S30" s="23">
        <f>(G30*H30+I30*J30+K30*L30+M30*N30+O30*P30+Q30*R30)/15</f>
        <v>36</v>
      </c>
    </row>
    <row r="31" spans="1:19" ht="19.95" customHeight="1" x14ac:dyDescent="0.25">
      <c r="A31" s="49"/>
      <c r="B31" s="1" t="s">
        <v>10</v>
      </c>
      <c r="C31" s="34">
        <v>0.59</v>
      </c>
      <c r="D31" s="35">
        <v>2.4249999999999998</v>
      </c>
      <c r="E31" s="36">
        <v>1.958</v>
      </c>
      <c r="F31" s="37">
        <v>0.48599999999999999</v>
      </c>
      <c r="G31" s="24">
        <v>55</v>
      </c>
      <c r="H31" s="55">
        <v>4</v>
      </c>
      <c r="I31" s="25">
        <v>40</v>
      </c>
      <c r="J31" s="58">
        <v>1</v>
      </c>
      <c r="K31" s="15">
        <v>50</v>
      </c>
      <c r="L31" s="52">
        <v>3</v>
      </c>
      <c r="M31" s="6">
        <v>40</v>
      </c>
      <c r="N31" s="55">
        <v>2</v>
      </c>
      <c r="O31" s="25">
        <v>50</v>
      </c>
      <c r="P31" s="58">
        <v>3</v>
      </c>
      <c r="Q31" s="15">
        <v>55</v>
      </c>
      <c r="R31" s="52">
        <v>2</v>
      </c>
      <c r="S31" s="23">
        <f>(G31*H30+I31*J30+K31*L30+M31*N30+O31*P30+Q31*R30)/15</f>
        <v>50</v>
      </c>
    </row>
    <row r="32" spans="1:19" ht="19.95" customHeight="1" x14ac:dyDescent="0.25">
      <c r="A32" s="49"/>
      <c r="B32" s="1" t="s">
        <v>11</v>
      </c>
      <c r="C32" s="34">
        <v>0.65200000000000002</v>
      </c>
      <c r="D32" s="35">
        <v>2.73</v>
      </c>
      <c r="E32" s="36">
        <v>2.2189999999999999</v>
      </c>
      <c r="F32" s="37">
        <v>0.54900000000000004</v>
      </c>
      <c r="G32" s="24">
        <v>70</v>
      </c>
      <c r="H32" s="55">
        <v>3</v>
      </c>
      <c r="I32" s="25">
        <v>50</v>
      </c>
      <c r="J32" s="58">
        <v>2</v>
      </c>
      <c r="K32" s="15">
        <v>65</v>
      </c>
      <c r="L32" s="52">
        <v>1</v>
      </c>
      <c r="M32" s="6">
        <v>50</v>
      </c>
      <c r="N32" s="55">
        <v>1</v>
      </c>
      <c r="O32" s="25">
        <v>65</v>
      </c>
      <c r="P32" s="58">
        <v>5</v>
      </c>
      <c r="Q32" s="15">
        <v>70</v>
      </c>
      <c r="R32" s="52">
        <v>3</v>
      </c>
      <c r="S32" s="23">
        <f>(G32*H30+I32*J30+K32*L30+M32*N30+O32*P30+Q32*R30)/15</f>
        <v>64</v>
      </c>
    </row>
    <row r="33" spans="1:19" ht="19.95" customHeight="1" x14ac:dyDescent="0.25">
      <c r="A33" s="50"/>
      <c r="B33" s="11" t="s">
        <v>12</v>
      </c>
      <c r="C33" s="38">
        <v>0.72599999999999998</v>
      </c>
      <c r="D33" s="39">
        <v>3.0720000000000001</v>
      </c>
      <c r="E33" s="40">
        <v>2.6320000000000001</v>
      </c>
      <c r="F33" s="41">
        <v>0.59699999999999998</v>
      </c>
      <c r="G33" s="30">
        <v>85</v>
      </c>
      <c r="H33" s="56">
        <v>4</v>
      </c>
      <c r="I33" s="31">
        <v>60</v>
      </c>
      <c r="J33" s="59">
        <v>1</v>
      </c>
      <c r="K33" s="32">
        <v>80</v>
      </c>
      <c r="L33" s="53">
        <v>2</v>
      </c>
      <c r="M33" s="33">
        <v>65</v>
      </c>
      <c r="N33" s="56">
        <v>1</v>
      </c>
      <c r="O33" s="31">
        <v>80</v>
      </c>
      <c r="P33" s="59">
        <v>4</v>
      </c>
      <c r="Q33" s="32">
        <v>85</v>
      </c>
      <c r="R33" s="53">
        <v>3</v>
      </c>
      <c r="S33" s="23">
        <f t="shared" ref="S33" si="0">(G33*H33+I33*J33+K33*L33+M33*N33+O33*P33+Q33*R33)/15</f>
        <v>80</v>
      </c>
    </row>
    <row r="34" spans="1:19" ht="19.95" customHeight="1" x14ac:dyDescent="0.25">
      <c r="A34" s="48">
        <v>9</v>
      </c>
      <c r="B34" s="4" t="s">
        <v>9</v>
      </c>
      <c r="C34" s="34">
        <v>0.53</v>
      </c>
      <c r="D34" s="35">
        <v>2.1560000000000001</v>
      </c>
      <c r="E34" s="36">
        <v>1.647</v>
      </c>
      <c r="F34" s="37">
        <v>0.42399999999999999</v>
      </c>
      <c r="G34" s="12">
        <v>45</v>
      </c>
      <c r="H34" s="54">
        <v>3</v>
      </c>
      <c r="I34" s="13">
        <v>35</v>
      </c>
      <c r="J34" s="57">
        <v>1</v>
      </c>
      <c r="K34" s="14">
        <v>40</v>
      </c>
      <c r="L34" s="51">
        <v>1</v>
      </c>
      <c r="M34" s="5">
        <v>30</v>
      </c>
      <c r="N34" s="54">
        <v>2</v>
      </c>
      <c r="O34" s="13">
        <v>40</v>
      </c>
      <c r="P34" s="57">
        <v>5</v>
      </c>
      <c r="Q34" s="14">
        <v>45</v>
      </c>
      <c r="R34" s="51">
        <v>3</v>
      </c>
      <c r="S34" s="23">
        <f>(G34*H34+I34*J34+K34*L34+M34*N34+O34*P34+Q34*R34)/15</f>
        <v>40.333333333333336</v>
      </c>
    </row>
    <row r="35" spans="1:19" ht="19.95" customHeight="1" x14ac:dyDescent="0.25">
      <c r="A35" s="49"/>
      <c r="B35" s="1" t="s">
        <v>10</v>
      </c>
      <c r="C35" s="34">
        <v>0.6</v>
      </c>
      <c r="D35" s="35">
        <v>2.528</v>
      </c>
      <c r="E35" s="36">
        <v>1.9650000000000001</v>
      </c>
      <c r="F35" s="37">
        <v>0.48499999999999999</v>
      </c>
      <c r="G35" s="24">
        <v>75</v>
      </c>
      <c r="H35" s="55">
        <v>4</v>
      </c>
      <c r="I35" s="25">
        <v>45</v>
      </c>
      <c r="J35" s="58">
        <v>2</v>
      </c>
      <c r="K35" s="15">
        <v>55</v>
      </c>
      <c r="L35" s="52">
        <v>1</v>
      </c>
      <c r="M35" s="6">
        <v>40</v>
      </c>
      <c r="N35" s="55">
        <v>1</v>
      </c>
      <c r="O35" s="25">
        <v>55</v>
      </c>
      <c r="P35" s="58">
        <v>3</v>
      </c>
      <c r="Q35" s="15">
        <v>60</v>
      </c>
      <c r="R35" s="52">
        <v>4</v>
      </c>
      <c r="S35" s="23">
        <f>(G35*H34+I35*J34+K35*L34+M35*N34+O35*P34+Q35*R34)/15</f>
        <v>57.333333333333336</v>
      </c>
    </row>
    <row r="36" spans="1:19" ht="19.95" customHeight="1" x14ac:dyDescent="0.25">
      <c r="A36" s="49"/>
      <c r="B36" s="1" t="s">
        <v>11</v>
      </c>
      <c r="C36" s="34">
        <v>0.66500000000000004</v>
      </c>
      <c r="D36" s="35">
        <v>2.8919999999999999</v>
      </c>
      <c r="E36" s="36">
        <v>2.226</v>
      </c>
      <c r="F36" s="37">
        <v>0.54400000000000004</v>
      </c>
      <c r="G36" s="24">
        <v>60</v>
      </c>
      <c r="H36" s="55">
        <v>3</v>
      </c>
      <c r="I36" s="25">
        <v>55</v>
      </c>
      <c r="J36" s="58">
        <v>1</v>
      </c>
      <c r="K36" s="15">
        <v>70</v>
      </c>
      <c r="L36" s="52">
        <v>2</v>
      </c>
      <c r="M36" s="6">
        <v>50</v>
      </c>
      <c r="N36" s="55">
        <v>1</v>
      </c>
      <c r="O36" s="25">
        <v>70</v>
      </c>
      <c r="P36" s="58">
        <v>5</v>
      </c>
      <c r="Q36" s="15">
        <v>75</v>
      </c>
      <c r="R36" s="52">
        <v>3</v>
      </c>
      <c r="S36" s="23">
        <f>(G36*H34+I36*J34+K36*L34+M36*N34+O36*P34+Q36*R34)/15</f>
        <v>65.333333333333329</v>
      </c>
    </row>
    <row r="37" spans="1:19" ht="19.95" customHeight="1" x14ac:dyDescent="0.25">
      <c r="A37" s="50"/>
      <c r="B37" s="11" t="s">
        <v>12</v>
      </c>
      <c r="C37" s="38">
        <v>0.72899999999999998</v>
      </c>
      <c r="D37" s="39">
        <v>3.2869999999999999</v>
      </c>
      <c r="E37" s="40">
        <v>2.8010000000000002</v>
      </c>
      <c r="F37" s="41">
        <v>0.58899999999999997</v>
      </c>
      <c r="G37" s="30">
        <v>90</v>
      </c>
      <c r="H37" s="56">
        <v>4</v>
      </c>
      <c r="I37" s="31">
        <v>65</v>
      </c>
      <c r="J37" s="59">
        <v>1</v>
      </c>
      <c r="K37" s="32">
        <v>85</v>
      </c>
      <c r="L37" s="53">
        <v>3</v>
      </c>
      <c r="M37" s="33">
        <v>65</v>
      </c>
      <c r="N37" s="56">
        <v>2</v>
      </c>
      <c r="O37" s="31">
        <v>85</v>
      </c>
      <c r="P37" s="59">
        <v>3</v>
      </c>
      <c r="Q37" s="32">
        <v>90</v>
      </c>
      <c r="R37" s="53">
        <v>2</v>
      </c>
      <c r="S37" s="23">
        <f>(G37*H34+I37*J34+K37*L34+M37*N34+O37*P34+Q37*R34)/15</f>
        <v>83</v>
      </c>
    </row>
    <row r="38" spans="1:19" ht="19.95" customHeight="1" x14ac:dyDescent="0.25">
      <c r="A38" s="48">
        <v>10</v>
      </c>
      <c r="B38" s="4" t="s">
        <v>9</v>
      </c>
      <c r="C38" s="34">
        <v>0.51</v>
      </c>
      <c r="D38" s="35">
        <v>2.0859999999999999</v>
      </c>
      <c r="E38" s="36">
        <v>1.641</v>
      </c>
      <c r="F38" s="37">
        <v>0.42499999999999999</v>
      </c>
      <c r="G38" s="12">
        <v>50</v>
      </c>
      <c r="H38" s="54">
        <v>3</v>
      </c>
      <c r="I38" s="13">
        <v>35</v>
      </c>
      <c r="J38" s="57">
        <v>2</v>
      </c>
      <c r="K38" s="14">
        <v>45</v>
      </c>
      <c r="L38" s="51">
        <v>1</v>
      </c>
      <c r="M38" s="5">
        <v>30</v>
      </c>
      <c r="N38" s="54">
        <v>1</v>
      </c>
      <c r="O38" s="13">
        <v>40</v>
      </c>
      <c r="P38" s="57">
        <v>5</v>
      </c>
      <c r="Q38" s="14">
        <v>50</v>
      </c>
      <c r="R38" s="51">
        <v>3</v>
      </c>
      <c r="S38" s="23">
        <f>(G38*H38+I38*J38+K38*L38+M38*N38+O38*P38+Q38*R38)/15</f>
        <v>43</v>
      </c>
    </row>
    <row r="39" spans="1:19" ht="19.95" customHeight="1" x14ac:dyDescent="0.25">
      <c r="A39" s="49"/>
      <c r="B39" s="1" t="s">
        <v>10</v>
      </c>
      <c r="C39" s="34">
        <v>0.58599999999999997</v>
      </c>
      <c r="D39" s="35">
        <v>2.4500000000000002</v>
      </c>
      <c r="E39" s="36">
        <v>1.952</v>
      </c>
      <c r="F39" s="37">
        <v>0.47799999999999998</v>
      </c>
      <c r="G39" s="24">
        <v>65</v>
      </c>
      <c r="H39" s="55">
        <v>4</v>
      </c>
      <c r="I39" s="25">
        <v>45</v>
      </c>
      <c r="J39" s="58">
        <v>1</v>
      </c>
      <c r="K39" s="15">
        <v>60</v>
      </c>
      <c r="L39" s="52">
        <v>2</v>
      </c>
      <c r="M39" s="6">
        <v>40</v>
      </c>
      <c r="N39" s="55">
        <v>2</v>
      </c>
      <c r="O39" s="25">
        <v>55</v>
      </c>
      <c r="P39" s="58">
        <v>3</v>
      </c>
      <c r="Q39" s="15">
        <v>65</v>
      </c>
      <c r="R39" s="52">
        <v>3</v>
      </c>
      <c r="S39" s="23">
        <f>(G39*H38+I39*J38+K39*L38+M39*N38+O39*P38+Q39*R38)/15</f>
        <v>57</v>
      </c>
    </row>
    <row r="40" spans="1:19" ht="19.95" customHeight="1" x14ac:dyDescent="0.25">
      <c r="A40" s="49"/>
      <c r="B40" s="1" t="s">
        <v>11</v>
      </c>
      <c r="C40" s="34">
        <v>0.66100000000000003</v>
      </c>
      <c r="D40" s="35">
        <v>2.8039999999999998</v>
      </c>
      <c r="E40" s="36">
        <v>2.2799999999999998</v>
      </c>
      <c r="F40" s="37">
        <v>0.53900000000000003</v>
      </c>
      <c r="G40" s="24">
        <v>80</v>
      </c>
      <c r="H40" s="55">
        <v>3</v>
      </c>
      <c r="I40" s="25">
        <v>55</v>
      </c>
      <c r="J40" s="58">
        <v>3</v>
      </c>
      <c r="K40" s="15">
        <v>75</v>
      </c>
      <c r="L40" s="52">
        <v>1</v>
      </c>
      <c r="M40" s="6">
        <v>55</v>
      </c>
      <c r="N40" s="55">
        <v>2</v>
      </c>
      <c r="O40" s="25">
        <v>70</v>
      </c>
      <c r="P40" s="58">
        <v>4</v>
      </c>
      <c r="Q40" s="15">
        <v>80</v>
      </c>
      <c r="R40" s="52">
        <v>2</v>
      </c>
      <c r="S40" s="23">
        <f>(G40*H38+I40*J38+K40*L38+M40*N38+O40*P38+Q40*R38)/15</f>
        <v>71.333333333333329</v>
      </c>
    </row>
    <row r="41" spans="1:19" ht="19.95" customHeight="1" x14ac:dyDescent="0.25">
      <c r="A41" s="50"/>
      <c r="B41" s="11" t="s">
        <v>12</v>
      </c>
      <c r="C41" s="38">
        <v>0.71099999999999997</v>
      </c>
      <c r="D41" s="39">
        <v>3.1360000000000001</v>
      </c>
      <c r="E41" s="40">
        <v>2.6840000000000002</v>
      </c>
      <c r="F41" s="41">
        <v>0.59799999999999998</v>
      </c>
      <c r="G41" s="30">
        <v>95</v>
      </c>
      <c r="H41" s="56">
        <v>3</v>
      </c>
      <c r="I41" s="31">
        <v>65</v>
      </c>
      <c r="J41" s="59">
        <v>2</v>
      </c>
      <c r="K41" s="32">
        <v>90</v>
      </c>
      <c r="L41" s="53">
        <v>3</v>
      </c>
      <c r="M41" s="33">
        <v>70</v>
      </c>
      <c r="N41" s="56">
        <v>1</v>
      </c>
      <c r="O41" s="31">
        <v>85</v>
      </c>
      <c r="P41" s="59">
        <v>3</v>
      </c>
      <c r="Q41" s="32">
        <v>95</v>
      </c>
      <c r="R41" s="53">
        <v>3</v>
      </c>
      <c r="S41" s="23">
        <f>(G41*H38+I41*J38+K41*L38+M41*N38+O41*P38+Q41*R38)/15</f>
        <v>85.666666666666671</v>
      </c>
    </row>
    <row r="42" spans="1:19" ht="19.95" customHeight="1" x14ac:dyDescent="0.25">
      <c r="A42" s="48">
        <v>11</v>
      </c>
      <c r="B42" s="4" t="s">
        <v>9</v>
      </c>
      <c r="C42" s="34">
        <v>0.52500000000000002</v>
      </c>
      <c r="D42" s="35">
        <v>2.2160000000000002</v>
      </c>
      <c r="E42" s="36">
        <v>1.581</v>
      </c>
      <c r="F42" s="37">
        <v>0.39200000000000002</v>
      </c>
      <c r="G42" s="12">
        <v>45</v>
      </c>
      <c r="H42" s="54">
        <v>3</v>
      </c>
      <c r="I42" s="13">
        <v>30</v>
      </c>
      <c r="J42" s="57">
        <v>3</v>
      </c>
      <c r="K42" s="14">
        <v>35</v>
      </c>
      <c r="L42" s="51">
        <v>2</v>
      </c>
      <c r="M42" s="5">
        <v>25</v>
      </c>
      <c r="N42" s="54">
        <v>1</v>
      </c>
      <c r="O42" s="13">
        <v>35</v>
      </c>
      <c r="P42" s="57">
        <v>4</v>
      </c>
      <c r="Q42" s="14">
        <v>40</v>
      </c>
      <c r="R42" s="51">
        <v>2</v>
      </c>
      <c r="S42" s="23">
        <f>(G42*H42+I42*J42+K42*L42+M42*N42+O42*P42+Q42*R42)/15</f>
        <v>36</v>
      </c>
    </row>
    <row r="43" spans="1:19" ht="19.95" customHeight="1" x14ac:dyDescent="0.25">
      <c r="A43" s="49"/>
      <c r="B43" s="1" t="s">
        <v>10</v>
      </c>
      <c r="C43" s="34">
        <v>0.61299999999999999</v>
      </c>
      <c r="D43" s="35">
        <v>2.6110000000000002</v>
      </c>
      <c r="E43" s="36">
        <v>1.84</v>
      </c>
      <c r="F43" s="37">
        <v>0.45200000000000001</v>
      </c>
      <c r="G43" s="24">
        <v>60</v>
      </c>
      <c r="H43" s="55">
        <v>4</v>
      </c>
      <c r="I43" s="25">
        <v>40</v>
      </c>
      <c r="J43" s="58">
        <v>1</v>
      </c>
      <c r="K43" s="15">
        <v>50</v>
      </c>
      <c r="L43" s="52">
        <v>1</v>
      </c>
      <c r="M43" s="6">
        <v>35</v>
      </c>
      <c r="N43" s="55">
        <v>2</v>
      </c>
      <c r="O43" s="25">
        <v>50</v>
      </c>
      <c r="P43" s="58">
        <v>5</v>
      </c>
      <c r="Q43" s="15">
        <v>55</v>
      </c>
      <c r="R43" s="52">
        <v>2</v>
      </c>
      <c r="S43" s="23">
        <f>(G43*H42+I43*J42+K43*L42+M43*N42+O43*P42+Q43*R42)/15</f>
        <v>49.666666666666664</v>
      </c>
    </row>
    <row r="44" spans="1:19" ht="19.95" customHeight="1" x14ac:dyDescent="0.25">
      <c r="A44" s="49"/>
      <c r="B44" s="1" t="s">
        <v>11</v>
      </c>
      <c r="C44" s="34">
        <v>0.67400000000000004</v>
      </c>
      <c r="D44" s="35">
        <v>2.9870000000000001</v>
      </c>
      <c r="E44" s="36">
        <v>2.1669999999999998</v>
      </c>
      <c r="F44" s="37">
        <v>0.505</v>
      </c>
      <c r="G44" s="24">
        <v>75</v>
      </c>
      <c r="H44" s="55">
        <v>3</v>
      </c>
      <c r="I44" s="25">
        <v>50</v>
      </c>
      <c r="J44" s="58">
        <v>2</v>
      </c>
      <c r="K44" s="15">
        <v>80</v>
      </c>
      <c r="L44" s="52">
        <v>3</v>
      </c>
      <c r="M44" s="6">
        <v>50</v>
      </c>
      <c r="N44" s="55">
        <v>1</v>
      </c>
      <c r="O44" s="25">
        <v>65</v>
      </c>
      <c r="P44" s="58">
        <v>3</v>
      </c>
      <c r="Q44" s="15">
        <v>70</v>
      </c>
      <c r="R44" s="52">
        <v>3</v>
      </c>
      <c r="S44" s="23">
        <f>(G44*H42+I44*J42+K44*L42+M44*N42+O44*P42+Q44*R42)/15</f>
        <v>65.666666666666671</v>
      </c>
    </row>
    <row r="45" spans="1:19" ht="19.95" customHeight="1" x14ac:dyDescent="0.25">
      <c r="A45" s="50"/>
      <c r="B45" s="11" t="s">
        <v>12</v>
      </c>
      <c r="C45" s="38">
        <v>0.73799999999999999</v>
      </c>
      <c r="D45" s="39">
        <v>3.3420000000000001</v>
      </c>
      <c r="E45" s="40">
        <v>2.62</v>
      </c>
      <c r="F45" s="41">
        <v>0.56200000000000006</v>
      </c>
      <c r="G45" s="30">
        <v>90</v>
      </c>
      <c r="H45" s="56">
        <v>4</v>
      </c>
      <c r="I45" s="31">
        <v>60</v>
      </c>
      <c r="J45" s="59">
        <v>1</v>
      </c>
      <c r="K45" s="32">
        <v>65</v>
      </c>
      <c r="L45" s="53">
        <v>2</v>
      </c>
      <c r="M45" s="33">
        <v>65</v>
      </c>
      <c r="N45" s="56">
        <v>3</v>
      </c>
      <c r="O45" s="31">
        <v>80</v>
      </c>
      <c r="P45" s="59">
        <v>3</v>
      </c>
      <c r="Q45" s="32">
        <v>85</v>
      </c>
      <c r="R45" s="53">
        <v>2</v>
      </c>
      <c r="S45" s="23">
        <f t="shared" ref="S45" si="1">(G45*H42+I45*J42+K45*L42+M45*N42+O45*P42+Q45*R42)/15</f>
        <v>75.666666666666671</v>
      </c>
    </row>
    <row r="46" spans="1:19" ht="19.95" customHeight="1" x14ac:dyDescent="0.25">
      <c r="A46" s="48">
        <v>12</v>
      </c>
      <c r="B46" s="4" t="s">
        <v>9</v>
      </c>
      <c r="C46" s="34">
        <v>0.50700000000000001</v>
      </c>
      <c r="D46" s="35">
        <v>2.0920000000000001</v>
      </c>
      <c r="E46" s="36">
        <v>1.6040000000000001</v>
      </c>
      <c r="F46" s="37">
        <v>0.41899999999999998</v>
      </c>
      <c r="G46" s="12">
        <v>40</v>
      </c>
      <c r="H46" s="54">
        <v>3</v>
      </c>
      <c r="I46" s="13">
        <v>30</v>
      </c>
      <c r="J46" s="57">
        <v>1</v>
      </c>
      <c r="K46" s="14">
        <v>35</v>
      </c>
      <c r="L46" s="51">
        <v>1</v>
      </c>
      <c r="M46" s="5">
        <v>30</v>
      </c>
      <c r="N46" s="54">
        <v>2</v>
      </c>
      <c r="O46" s="13">
        <v>35</v>
      </c>
      <c r="P46" s="57">
        <v>5</v>
      </c>
      <c r="Q46" s="14">
        <v>40</v>
      </c>
      <c r="R46" s="51">
        <v>3</v>
      </c>
      <c r="S46" s="23">
        <f>(G46*H46+I46*J46+K46*L46+M46*N46+O46*P46+Q46*R46)/15</f>
        <v>36</v>
      </c>
    </row>
    <row r="47" spans="1:19" ht="19.95" customHeight="1" x14ac:dyDescent="0.25">
      <c r="A47" s="49"/>
      <c r="B47" s="1" t="s">
        <v>10</v>
      </c>
      <c r="C47" s="34">
        <v>0.58099999999999996</v>
      </c>
      <c r="D47" s="35">
        <v>2.423</v>
      </c>
      <c r="E47" s="36">
        <v>1.954</v>
      </c>
      <c r="F47" s="37">
        <v>0.48199999999999998</v>
      </c>
      <c r="G47" s="24">
        <v>55</v>
      </c>
      <c r="H47" s="55">
        <v>4</v>
      </c>
      <c r="I47" s="25">
        <v>40</v>
      </c>
      <c r="J47" s="58">
        <v>2</v>
      </c>
      <c r="K47" s="15">
        <v>50</v>
      </c>
      <c r="L47" s="52">
        <v>1</v>
      </c>
      <c r="M47" s="6">
        <v>40</v>
      </c>
      <c r="N47" s="55">
        <v>1</v>
      </c>
      <c r="O47" s="25">
        <v>50</v>
      </c>
      <c r="P47" s="58">
        <v>4</v>
      </c>
      <c r="Q47" s="15">
        <v>55</v>
      </c>
      <c r="R47" s="52">
        <v>3</v>
      </c>
      <c r="S47" s="23">
        <f>(G47*H46+I47*J46+K47*L46+M47*N46+O47*P46+Q47*R46)/15</f>
        <v>50</v>
      </c>
    </row>
    <row r="48" spans="1:19" ht="19.95" customHeight="1" x14ac:dyDescent="0.25">
      <c r="A48" s="49"/>
      <c r="B48" s="1" t="s">
        <v>11</v>
      </c>
      <c r="C48" s="34">
        <v>0.65</v>
      </c>
      <c r="D48" s="35">
        <v>2.7749999999999999</v>
      </c>
      <c r="E48" s="36">
        <v>2.2160000000000002</v>
      </c>
      <c r="F48" s="37">
        <v>0.53600000000000003</v>
      </c>
      <c r="G48" s="24">
        <v>70</v>
      </c>
      <c r="H48" s="55">
        <v>3</v>
      </c>
      <c r="I48" s="25">
        <v>50</v>
      </c>
      <c r="J48" s="58">
        <v>1</v>
      </c>
      <c r="K48" s="15">
        <v>65</v>
      </c>
      <c r="L48" s="52">
        <v>2</v>
      </c>
      <c r="M48" s="6">
        <v>55</v>
      </c>
      <c r="N48" s="55">
        <v>1</v>
      </c>
      <c r="O48" s="25">
        <v>65</v>
      </c>
      <c r="P48" s="58">
        <v>4</v>
      </c>
      <c r="Q48" s="15">
        <v>70</v>
      </c>
      <c r="R48" s="52">
        <v>4</v>
      </c>
      <c r="S48" s="23">
        <f>(G48*H46+I48*J46+K48*L46+M48*N46+O48*P46+Q48*R46)/15</f>
        <v>64.666666666666671</v>
      </c>
    </row>
    <row r="49" spans="1:19" ht="19.95" customHeight="1" x14ac:dyDescent="0.25">
      <c r="A49" s="50"/>
      <c r="B49" s="11" t="s">
        <v>12</v>
      </c>
      <c r="C49" s="38">
        <v>0.71</v>
      </c>
      <c r="D49" s="39">
        <v>3.1339999999999999</v>
      </c>
      <c r="E49" s="40">
        <v>2.6619999999999999</v>
      </c>
      <c r="F49" s="41">
        <v>0.57999999999999996</v>
      </c>
      <c r="G49" s="30">
        <v>85</v>
      </c>
      <c r="H49" s="56">
        <v>4</v>
      </c>
      <c r="I49" s="31">
        <v>60</v>
      </c>
      <c r="J49" s="59">
        <v>1</v>
      </c>
      <c r="K49" s="32">
        <v>80</v>
      </c>
      <c r="L49" s="53">
        <v>3</v>
      </c>
      <c r="M49" s="33">
        <v>70</v>
      </c>
      <c r="N49" s="56">
        <v>2</v>
      </c>
      <c r="O49" s="31">
        <v>80</v>
      </c>
      <c r="P49" s="59">
        <v>3</v>
      </c>
      <c r="Q49" s="32">
        <v>85</v>
      </c>
      <c r="R49" s="53">
        <v>2</v>
      </c>
      <c r="S49" s="23">
        <f>(G49*H46+I49*J46+K49*L46+M49*N46+O49*P46+Q49*R46)/15</f>
        <v>79.333333333333329</v>
      </c>
    </row>
    <row r="50" spans="1:19" ht="19.95" customHeight="1" x14ac:dyDescent="0.25">
      <c r="A50" s="48">
        <v>13</v>
      </c>
      <c r="B50" s="4" t="s">
        <v>9</v>
      </c>
      <c r="C50" s="34">
        <v>0.49299999999999999</v>
      </c>
      <c r="D50" s="35">
        <v>2.1760000000000002</v>
      </c>
      <c r="E50" s="36">
        <v>1.573</v>
      </c>
      <c r="F50" s="37">
        <v>0.42599999999999999</v>
      </c>
      <c r="G50" s="12">
        <v>50</v>
      </c>
      <c r="H50" s="54">
        <v>3</v>
      </c>
      <c r="I50" s="13">
        <v>30</v>
      </c>
      <c r="J50" s="57">
        <v>2</v>
      </c>
      <c r="K50" s="14">
        <v>40</v>
      </c>
      <c r="L50" s="51">
        <v>1</v>
      </c>
      <c r="M50" s="5">
        <v>25</v>
      </c>
      <c r="N50" s="54">
        <v>2</v>
      </c>
      <c r="O50" s="13">
        <v>40</v>
      </c>
      <c r="P50" s="57">
        <v>4</v>
      </c>
      <c r="Q50" s="14">
        <v>45</v>
      </c>
      <c r="R50" s="51">
        <v>3</v>
      </c>
      <c r="S50" s="23">
        <f>(G50*H50+I50*J50+K50*L50+M50*N50+O50*P50+Q50*R50)/15</f>
        <v>39.666666666666664</v>
      </c>
    </row>
    <row r="51" spans="1:19" ht="19.95" customHeight="1" x14ac:dyDescent="0.25">
      <c r="A51" s="49"/>
      <c r="B51" s="1" t="s">
        <v>10</v>
      </c>
      <c r="C51" s="34">
        <v>0.57999999999999996</v>
      </c>
      <c r="D51" s="35">
        <v>2.4830000000000001</v>
      </c>
      <c r="E51" s="36">
        <v>1.847</v>
      </c>
      <c r="F51" s="37">
        <v>0.48899999999999999</v>
      </c>
      <c r="G51" s="24">
        <v>65</v>
      </c>
      <c r="H51" s="55">
        <v>4</v>
      </c>
      <c r="I51" s="25">
        <v>40</v>
      </c>
      <c r="J51" s="58">
        <v>1</v>
      </c>
      <c r="K51" s="15">
        <v>55</v>
      </c>
      <c r="L51" s="52">
        <v>2</v>
      </c>
      <c r="M51" s="6">
        <v>35</v>
      </c>
      <c r="N51" s="55">
        <v>1</v>
      </c>
      <c r="O51" s="25">
        <v>55</v>
      </c>
      <c r="P51" s="58">
        <v>3</v>
      </c>
      <c r="Q51" s="15">
        <v>60</v>
      </c>
      <c r="R51" s="52">
        <v>4</v>
      </c>
      <c r="S51" s="23">
        <f>(G51*H50+I51*J50+K51*L50+M51*N50+O51*P50+Q51*R50)/15</f>
        <v>53.333333333333336</v>
      </c>
    </row>
    <row r="52" spans="1:19" ht="19.95" customHeight="1" x14ac:dyDescent="0.25">
      <c r="A52" s="49"/>
      <c r="B52" s="1" t="s">
        <v>11</v>
      </c>
      <c r="C52" s="34">
        <v>0.64400000000000002</v>
      </c>
      <c r="D52" s="35">
        <v>2.7959999999999998</v>
      </c>
      <c r="E52" s="36">
        <v>2.1909999999999998</v>
      </c>
      <c r="F52" s="37">
        <v>0.55000000000000004</v>
      </c>
      <c r="G52" s="24">
        <v>80</v>
      </c>
      <c r="H52" s="55">
        <v>3</v>
      </c>
      <c r="I52" s="25">
        <v>50</v>
      </c>
      <c r="J52" s="58">
        <v>1</v>
      </c>
      <c r="K52" s="15">
        <v>70</v>
      </c>
      <c r="L52" s="52">
        <v>1</v>
      </c>
      <c r="M52" s="6">
        <v>50</v>
      </c>
      <c r="N52" s="55">
        <v>2</v>
      </c>
      <c r="O52" s="25">
        <v>70</v>
      </c>
      <c r="P52" s="58">
        <v>5</v>
      </c>
      <c r="Q52" s="15">
        <v>75</v>
      </c>
      <c r="R52" s="52">
        <v>3</v>
      </c>
      <c r="S52" s="23">
        <f>(G52*H50+I52*J50+K52*L50+M52*N50+O52*P50+Q52*R50)/15</f>
        <v>67.666666666666671</v>
      </c>
    </row>
    <row r="53" spans="1:19" ht="19.95" customHeight="1" x14ac:dyDescent="0.25">
      <c r="A53" s="50"/>
      <c r="B53" s="11" t="s">
        <v>12</v>
      </c>
      <c r="C53" s="38">
        <v>0.70799999999999996</v>
      </c>
      <c r="D53" s="39">
        <v>3.1739999999999999</v>
      </c>
      <c r="E53" s="40">
        <v>2.7519999999999998</v>
      </c>
      <c r="F53" s="41">
        <v>0.59399999999999997</v>
      </c>
      <c r="G53" s="30">
        <v>95</v>
      </c>
      <c r="H53" s="56">
        <v>4</v>
      </c>
      <c r="I53" s="31">
        <v>60</v>
      </c>
      <c r="J53" s="59">
        <v>2</v>
      </c>
      <c r="K53" s="32">
        <v>85</v>
      </c>
      <c r="L53" s="53">
        <v>1</v>
      </c>
      <c r="M53" s="33">
        <v>65</v>
      </c>
      <c r="N53" s="56">
        <v>1</v>
      </c>
      <c r="O53" s="31">
        <v>85</v>
      </c>
      <c r="P53" s="59">
        <v>4</v>
      </c>
      <c r="Q53" s="32">
        <v>90</v>
      </c>
      <c r="R53" s="53">
        <v>3</v>
      </c>
      <c r="S53" s="23">
        <f>(G53*H50+I53*J50+K53*L50+M53*N50+O53*P50+Q53*R50)/15</f>
        <v>82</v>
      </c>
    </row>
    <row r="54" spans="1:19" ht="19.95" customHeight="1" x14ac:dyDescent="0.25">
      <c r="A54" s="48">
        <v>14</v>
      </c>
      <c r="B54" s="4" t="s">
        <v>9</v>
      </c>
      <c r="C54" s="34">
        <v>0.49399999999999999</v>
      </c>
      <c r="D54" s="35">
        <v>2.1360000000000001</v>
      </c>
      <c r="E54" s="36">
        <v>1.5920000000000001</v>
      </c>
      <c r="F54" s="37">
        <v>0.40899999999999997</v>
      </c>
      <c r="G54" s="12">
        <v>45</v>
      </c>
      <c r="H54" s="54">
        <v>3</v>
      </c>
      <c r="I54" s="13">
        <v>25</v>
      </c>
      <c r="J54" s="57">
        <v>1</v>
      </c>
      <c r="K54" s="14">
        <v>35</v>
      </c>
      <c r="L54" s="51">
        <v>2</v>
      </c>
      <c r="M54" s="5">
        <v>30</v>
      </c>
      <c r="N54" s="54">
        <v>1</v>
      </c>
      <c r="O54" s="13">
        <v>40</v>
      </c>
      <c r="P54" s="57">
        <v>5</v>
      </c>
      <c r="Q54" s="14">
        <v>40</v>
      </c>
      <c r="R54" s="51">
        <v>3</v>
      </c>
      <c r="S54" s="23">
        <f>(G54*H54+I54*J54+K54*L54+M54*N54+O54*P54+Q54*R54)/15</f>
        <v>38.666666666666664</v>
      </c>
    </row>
    <row r="55" spans="1:19" ht="19.95" customHeight="1" x14ac:dyDescent="0.25">
      <c r="A55" s="49"/>
      <c r="B55" s="1" t="s">
        <v>10</v>
      </c>
      <c r="C55" s="34">
        <v>0.57899999999999996</v>
      </c>
      <c r="D55" s="35">
        <v>2.5030000000000001</v>
      </c>
      <c r="E55" s="36">
        <v>1.94</v>
      </c>
      <c r="F55" s="37">
        <v>0.46100000000000002</v>
      </c>
      <c r="G55" s="24">
        <v>60</v>
      </c>
      <c r="H55" s="55">
        <v>4</v>
      </c>
      <c r="I55" s="25">
        <v>35</v>
      </c>
      <c r="J55" s="58">
        <v>1</v>
      </c>
      <c r="K55" s="15">
        <v>50</v>
      </c>
      <c r="L55" s="52">
        <v>1</v>
      </c>
      <c r="M55" s="6">
        <v>40</v>
      </c>
      <c r="N55" s="55">
        <v>2</v>
      </c>
      <c r="O55" s="25">
        <v>55</v>
      </c>
      <c r="P55" s="58">
        <v>5</v>
      </c>
      <c r="Q55" s="15">
        <v>55</v>
      </c>
      <c r="R55" s="52">
        <v>2</v>
      </c>
      <c r="S55" s="23">
        <f>(G55*H54+I55*J54+K55*L54+M55*N54+O55*P54+Q55*R54)/15</f>
        <v>53</v>
      </c>
    </row>
    <row r="56" spans="1:19" ht="19.95" customHeight="1" x14ac:dyDescent="0.25">
      <c r="A56" s="49"/>
      <c r="B56" s="1" t="s">
        <v>11</v>
      </c>
      <c r="C56" s="34">
        <v>0.64700000000000002</v>
      </c>
      <c r="D56" s="35">
        <v>2.8370000000000002</v>
      </c>
      <c r="E56" s="36">
        <v>2.2759999999999998</v>
      </c>
      <c r="F56" s="37">
        <v>0.51600000000000001</v>
      </c>
      <c r="G56" s="24">
        <v>90</v>
      </c>
      <c r="H56" s="55">
        <v>4</v>
      </c>
      <c r="I56" s="25">
        <v>45</v>
      </c>
      <c r="J56" s="58">
        <v>2</v>
      </c>
      <c r="K56" s="15">
        <v>65</v>
      </c>
      <c r="L56" s="52">
        <v>1</v>
      </c>
      <c r="M56" s="6">
        <v>55</v>
      </c>
      <c r="N56" s="55">
        <v>1</v>
      </c>
      <c r="O56" s="25">
        <v>70</v>
      </c>
      <c r="P56" s="58">
        <v>5</v>
      </c>
      <c r="Q56" s="15">
        <v>70</v>
      </c>
      <c r="R56" s="52">
        <v>2</v>
      </c>
      <c r="S56" s="23">
        <f>(G56*H54+I56*J54+K56*L54+M56*N54+O56*P54+Q56*R54)/15</f>
        <v>70.666666666666671</v>
      </c>
    </row>
    <row r="57" spans="1:19" ht="19.95" customHeight="1" x14ac:dyDescent="0.25">
      <c r="A57" s="50"/>
      <c r="B57" s="11" t="s">
        <v>12</v>
      </c>
      <c r="C57" s="38">
        <v>0.70299999999999996</v>
      </c>
      <c r="D57" s="39">
        <v>3.1819999999999999</v>
      </c>
      <c r="E57" s="40">
        <v>2.76</v>
      </c>
      <c r="F57" s="41">
        <v>0.56200000000000006</v>
      </c>
      <c r="G57" s="30">
        <v>85</v>
      </c>
      <c r="H57" s="56">
        <v>3</v>
      </c>
      <c r="I57" s="31">
        <v>55</v>
      </c>
      <c r="J57" s="59">
        <v>1</v>
      </c>
      <c r="K57" s="32">
        <v>80</v>
      </c>
      <c r="L57" s="53">
        <v>2</v>
      </c>
      <c r="M57" s="33">
        <v>70</v>
      </c>
      <c r="N57" s="56">
        <v>2</v>
      </c>
      <c r="O57" s="31">
        <v>85</v>
      </c>
      <c r="P57" s="59">
        <v>4</v>
      </c>
      <c r="Q57" s="32">
        <v>85</v>
      </c>
      <c r="R57" s="53">
        <v>3</v>
      </c>
      <c r="S57" s="23">
        <f>(G57*H54+I57*J54+K57*L54+M57*N54+O57*P54+Q57*R54)/15</f>
        <v>81.333333333333329</v>
      </c>
    </row>
    <row r="58" spans="1:19" ht="19.95" customHeight="1" x14ac:dyDescent="0.25">
      <c r="A58" s="48">
        <v>15</v>
      </c>
      <c r="B58" s="4" t="s">
        <v>9</v>
      </c>
      <c r="C58" s="34">
        <v>0.5</v>
      </c>
      <c r="D58" s="35">
        <v>2.2349999999999999</v>
      </c>
      <c r="E58" s="36">
        <v>1.5940000000000001</v>
      </c>
      <c r="F58" s="37">
        <v>0.42399999999999999</v>
      </c>
      <c r="G58" s="12">
        <v>50</v>
      </c>
      <c r="H58" s="54">
        <v>4</v>
      </c>
      <c r="I58" s="13">
        <v>35</v>
      </c>
      <c r="J58" s="57">
        <v>1</v>
      </c>
      <c r="K58" s="14">
        <v>45</v>
      </c>
      <c r="L58" s="51">
        <v>3</v>
      </c>
      <c r="M58" s="5">
        <v>30</v>
      </c>
      <c r="N58" s="54">
        <v>2</v>
      </c>
      <c r="O58" s="13">
        <v>40</v>
      </c>
      <c r="P58" s="57">
        <v>3</v>
      </c>
      <c r="Q58" s="14">
        <v>50</v>
      </c>
      <c r="R58" s="51">
        <v>2</v>
      </c>
      <c r="S58" s="23">
        <f>(G58*H58+I58*J58+K58*L58+M58*N58+O58*P58+Q58*R58)/15</f>
        <v>43.333333333333336</v>
      </c>
    </row>
    <row r="59" spans="1:19" ht="19.95" customHeight="1" x14ac:dyDescent="0.25">
      <c r="A59" s="49"/>
      <c r="B59" s="1" t="s">
        <v>10</v>
      </c>
      <c r="C59" s="34">
        <v>0.58099999999999996</v>
      </c>
      <c r="D59" s="35">
        <v>2.54</v>
      </c>
      <c r="E59" s="36">
        <v>1.944</v>
      </c>
      <c r="F59" s="37">
        <v>0.49099999999999999</v>
      </c>
      <c r="G59" s="24">
        <v>65</v>
      </c>
      <c r="H59" s="55">
        <v>3</v>
      </c>
      <c r="I59" s="25">
        <v>45</v>
      </c>
      <c r="J59" s="58">
        <v>2</v>
      </c>
      <c r="K59" s="15">
        <v>60</v>
      </c>
      <c r="L59" s="52">
        <v>1</v>
      </c>
      <c r="M59" s="6">
        <v>40</v>
      </c>
      <c r="N59" s="55">
        <v>1</v>
      </c>
      <c r="O59" s="25">
        <v>55</v>
      </c>
      <c r="P59" s="58">
        <v>5</v>
      </c>
      <c r="Q59" s="15">
        <v>65</v>
      </c>
      <c r="R59" s="52">
        <v>3</v>
      </c>
      <c r="S59" s="23">
        <f>(G59*H58+I59*J58+K59*L58+M59*N58+O59*P58+Q59*R58)/15</f>
        <v>57.333333333333336</v>
      </c>
    </row>
    <row r="60" spans="1:19" ht="19.95" customHeight="1" x14ac:dyDescent="0.25">
      <c r="A60" s="49"/>
      <c r="B60" s="1" t="s">
        <v>11</v>
      </c>
      <c r="C60" s="34">
        <v>0.66</v>
      </c>
      <c r="D60" s="35">
        <v>2.9329999999999998</v>
      </c>
      <c r="E60" s="36">
        <v>2.2789999999999999</v>
      </c>
      <c r="F60" s="37">
        <v>0.54400000000000004</v>
      </c>
      <c r="G60" s="24">
        <v>80</v>
      </c>
      <c r="H60" s="55">
        <v>4</v>
      </c>
      <c r="I60" s="25">
        <v>55</v>
      </c>
      <c r="J60" s="58">
        <v>1</v>
      </c>
      <c r="K60" s="15">
        <v>75</v>
      </c>
      <c r="L60" s="52">
        <v>2</v>
      </c>
      <c r="M60" s="6">
        <v>55</v>
      </c>
      <c r="N60" s="55">
        <v>1</v>
      </c>
      <c r="O60" s="25">
        <v>70</v>
      </c>
      <c r="P60" s="58">
        <v>4</v>
      </c>
      <c r="Q60" s="15">
        <v>80</v>
      </c>
      <c r="R60" s="52">
        <v>3</v>
      </c>
      <c r="S60" s="23">
        <f>(G60*H58+I60*J58+K60*L58+M60*N58+O60*P58+Q60*R58)/15</f>
        <v>72</v>
      </c>
    </row>
    <row r="61" spans="1:19" ht="19.95" customHeight="1" x14ac:dyDescent="0.25">
      <c r="A61" s="50"/>
      <c r="B61" s="11" t="s">
        <v>12</v>
      </c>
      <c r="C61" s="38">
        <v>0.72499999999999998</v>
      </c>
      <c r="D61" s="39">
        <v>3.254</v>
      </c>
      <c r="E61" s="40">
        <v>2.7589999999999999</v>
      </c>
      <c r="F61" s="41">
        <v>0.58499999999999996</v>
      </c>
      <c r="G61" s="30">
        <v>95</v>
      </c>
      <c r="H61" s="56">
        <v>3</v>
      </c>
      <c r="I61" s="31">
        <v>65</v>
      </c>
      <c r="J61" s="59">
        <v>1</v>
      </c>
      <c r="K61" s="32">
        <v>90</v>
      </c>
      <c r="L61" s="53">
        <v>1</v>
      </c>
      <c r="M61" s="33">
        <v>70</v>
      </c>
      <c r="N61" s="56">
        <v>2</v>
      </c>
      <c r="O61" s="31">
        <v>85</v>
      </c>
      <c r="P61" s="59">
        <v>5</v>
      </c>
      <c r="Q61" s="32">
        <v>95</v>
      </c>
      <c r="R61" s="53">
        <v>3</v>
      </c>
      <c r="S61" s="23">
        <f t="shared" ref="S61" si="2">(G61*H58+I61*J58+K61*L58+M61*N58+O61*P58+Q61*R58)/15</f>
        <v>86.666666666666671</v>
      </c>
    </row>
    <row r="62" spans="1:19" ht="19.95" customHeight="1" x14ac:dyDescent="0.25">
      <c r="A62" s="48">
        <v>16</v>
      </c>
      <c r="B62" s="4" t="s">
        <v>9</v>
      </c>
      <c r="C62" s="34">
        <v>0.505</v>
      </c>
      <c r="D62" s="35">
        <v>2.2469999999999999</v>
      </c>
      <c r="E62" s="36">
        <v>1.577</v>
      </c>
      <c r="F62" s="37">
        <v>0.42099999999999999</v>
      </c>
      <c r="G62" s="12">
        <v>45</v>
      </c>
      <c r="H62" s="54">
        <v>4</v>
      </c>
      <c r="I62" s="13">
        <v>30</v>
      </c>
      <c r="J62" s="57">
        <v>2</v>
      </c>
      <c r="K62" s="14">
        <v>35</v>
      </c>
      <c r="L62" s="51">
        <v>1</v>
      </c>
      <c r="M62" s="5">
        <v>25</v>
      </c>
      <c r="N62" s="54">
        <v>1</v>
      </c>
      <c r="O62" s="13">
        <v>35</v>
      </c>
      <c r="P62" s="57">
        <v>3</v>
      </c>
      <c r="Q62" s="14">
        <v>40</v>
      </c>
      <c r="R62" s="51">
        <v>4</v>
      </c>
      <c r="S62" s="23">
        <f>(G62*H62+I62*J62+K62*L62+M62*N62+O62*P62+Q62*R62)/15</f>
        <v>37.666666666666664</v>
      </c>
    </row>
    <row r="63" spans="1:19" ht="19.95" customHeight="1" x14ac:dyDescent="0.25">
      <c r="A63" s="49"/>
      <c r="B63" s="1" t="s">
        <v>10</v>
      </c>
      <c r="C63" s="34">
        <v>0.58399999999999996</v>
      </c>
      <c r="D63" s="35">
        <v>2.589</v>
      </c>
      <c r="E63" s="36">
        <v>1.923</v>
      </c>
      <c r="F63" s="37">
        <v>0.49099999999999999</v>
      </c>
      <c r="G63" s="24">
        <v>60</v>
      </c>
      <c r="H63" s="55">
        <v>3</v>
      </c>
      <c r="I63" s="25">
        <v>35</v>
      </c>
      <c r="J63" s="58">
        <v>1</v>
      </c>
      <c r="K63" s="15">
        <v>50</v>
      </c>
      <c r="L63" s="52">
        <v>2</v>
      </c>
      <c r="M63" s="6">
        <v>35</v>
      </c>
      <c r="N63" s="55">
        <v>1</v>
      </c>
      <c r="O63" s="25">
        <v>50</v>
      </c>
      <c r="P63" s="58">
        <v>5</v>
      </c>
      <c r="Q63" s="15">
        <v>55</v>
      </c>
      <c r="R63" s="52">
        <v>3</v>
      </c>
      <c r="S63" s="23">
        <f>(G63*H62+I63*J62+K63*L62+M63*N62+O63*P62+Q63*R62)/15</f>
        <v>51</v>
      </c>
    </row>
    <row r="64" spans="1:19" ht="19.95" customHeight="1" x14ac:dyDescent="0.25">
      <c r="A64" s="49"/>
      <c r="B64" s="1" t="s">
        <v>11</v>
      </c>
      <c r="C64" s="34">
        <v>0.65500000000000003</v>
      </c>
      <c r="D64" s="35">
        <v>2.9609999999999999</v>
      </c>
      <c r="E64" s="36">
        <v>2.1880000000000002</v>
      </c>
      <c r="F64" s="37">
        <v>0.54700000000000004</v>
      </c>
      <c r="G64" s="24">
        <v>75</v>
      </c>
      <c r="H64" s="55">
        <v>4</v>
      </c>
      <c r="I64" s="25">
        <v>45</v>
      </c>
      <c r="J64" s="58">
        <v>1</v>
      </c>
      <c r="K64" s="15">
        <v>65</v>
      </c>
      <c r="L64" s="52">
        <v>3</v>
      </c>
      <c r="M64" s="6">
        <v>50</v>
      </c>
      <c r="N64" s="55">
        <v>2</v>
      </c>
      <c r="O64" s="25">
        <v>65</v>
      </c>
      <c r="P64" s="58">
        <v>3</v>
      </c>
      <c r="Q64" s="15">
        <v>85</v>
      </c>
      <c r="R64" s="52">
        <v>2</v>
      </c>
      <c r="S64" s="23">
        <f>(G64*H62+I64*J62+K64*L62+M64*N62+O64*P62+Q64*R62)/15</f>
        <v>69.333333333333329</v>
      </c>
    </row>
    <row r="65" spans="1:19" ht="19.95" customHeight="1" x14ac:dyDescent="0.25">
      <c r="A65" s="50"/>
      <c r="B65" s="11" t="s">
        <v>12</v>
      </c>
      <c r="C65" s="38">
        <v>0.73399999999999999</v>
      </c>
      <c r="D65" s="39">
        <v>3.319</v>
      </c>
      <c r="E65" s="40">
        <v>2.6960000000000002</v>
      </c>
      <c r="F65" s="41">
        <v>0.60199999999999998</v>
      </c>
      <c r="G65" s="30">
        <v>90</v>
      </c>
      <c r="H65" s="56">
        <v>3</v>
      </c>
      <c r="I65" s="31">
        <v>55</v>
      </c>
      <c r="J65" s="59">
        <v>2</v>
      </c>
      <c r="K65" s="32">
        <v>80</v>
      </c>
      <c r="L65" s="53">
        <v>1</v>
      </c>
      <c r="M65" s="33">
        <v>60</v>
      </c>
      <c r="N65" s="56">
        <v>1</v>
      </c>
      <c r="O65" s="31">
        <v>85</v>
      </c>
      <c r="P65" s="59">
        <v>5</v>
      </c>
      <c r="Q65" s="32">
        <v>70</v>
      </c>
      <c r="R65" s="53">
        <v>3</v>
      </c>
      <c r="S65" s="23">
        <f>(G65*H62+I65*J62+K65*L62+M65*N62+O65*P62+Q65*R62)/15</f>
        <v>76.333333333333329</v>
      </c>
    </row>
    <row r="66" spans="1:19" ht="19.95" customHeight="1" x14ac:dyDescent="0.25">
      <c r="A66" s="48">
        <v>17</v>
      </c>
      <c r="B66" s="4" t="s">
        <v>9</v>
      </c>
      <c r="C66" s="34">
        <v>0.49199999999999999</v>
      </c>
      <c r="D66" s="35">
        <v>2.1669999999999998</v>
      </c>
      <c r="E66" s="36">
        <v>1.6</v>
      </c>
      <c r="F66" s="37">
        <v>0.42399999999999999</v>
      </c>
      <c r="G66" s="12">
        <v>50</v>
      </c>
      <c r="H66" s="54">
        <v>4</v>
      </c>
      <c r="I66" s="13">
        <v>30</v>
      </c>
      <c r="J66" s="57">
        <v>1</v>
      </c>
      <c r="K66" s="14">
        <v>40</v>
      </c>
      <c r="L66" s="51">
        <v>2</v>
      </c>
      <c r="M66" s="5">
        <v>25</v>
      </c>
      <c r="N66" s="54">
        <v>2</v>
      </c>
      <c r="O66" s="13">
        <v>35</v>
      </c>
      <c r="P66" s="57">
        <v>3</v>
      </c>
      <c r="Q66" s="14">
        <v>45</v>
      </c>
      <c r="R66" s="51">
        <v>3</v>
      </c>
      <c r="S66" s="23">
        <f>(G66*H66+I66*J66+K66*L66+M66*N66+O66*P66+Q66*R66)/15</f>
        <v>40</v>
      </c>
    </row>
    <row r="67" spans="1:19" ht="19.95" customHeight="1" x14ac:dyDescent="0.25">
      <c r="A67" s="49"/>
      <c r="B67" s="1" t="s">
        <v>10</v>
      </c>
      <c r="C67" s="34">
        <v>0.56499999999999995</v>
      </c>
      <c r="D67" s="35">
        <v>2.5630000000000002</v>
      </c>
      <c r="E67" s="36">
        <v>1.8580000000000001</v>
      </c>
      <c r="F67" s="37">
        <v>0.47799999999999998</v>
      </c>
      <c r="G67" s="24">
        <v>65</v>
      </c>
      <c r="H67" s="55">
        <v>3</v>
      </c>
      <c r="I67" s="25">
        <v>40</v>
      </c>
      <c r="J67" s="58">
        <v>3</v>
      </c>
      <c r="K67" s="15">
        <v>55</v>
      </c>
      <c r="L67" s="52">
        <v>1</v>
      </c>
      <c r="M67" s="6">
        <v>35</v>
      </c>
      <c r="N67" s="55">
        <v>2</v>
      </c>
      <c r="O67" s="25">
        <v>50</v>
      </c>
      <c r="P67" s="58">
        <v>4</v>
      </c>
      <c r="Q67" s="15">
        <v>60</v>
      </c>
      <c r="R67" s="52">
        <v>2</v>
      </c>
      <c r="S67" s="23">
        <f>(G67*H66+I67*J66+K67*L66+M67*N66+O67*P66+Q67*R66)/15</f>
        <v>54</v>
      </c>
    </row>
    <row r="68" spans="1:19" ht="19.95" customHeight="1" x14ac:dyDescent="0.25">
      <c r="A68" s="49"/>
      <c r="B68" s="1" t="s">
        <v>11</v>
      </c>
      <c r="C68" s="34">
        <v>0.63700000000000001</v>
      </c>
      <c r="D68" s="35">
        <v>2.931</v>
      </c>
      <c r="E68" s="36">
        <v>2.1320000000000001</v>
      </c>
      <c r="F68" s="37">
        <v>0.53</v>
      </c>
      <c r="G68" s="24">
        <v>80</v>
      </c>
      <c r="H68" s="55">
        <v>3</v>
      </c>
      <c r="I68" s="25">
        <v>50</v>
      </c>
      <c r="J68" s="58">
        <v>2</v>
      </c>
      <c r="K68" s="15">
        <v>70</v>
      </c>
      <c r="L68" s="52">
        <v>3</v>
      </c>
      <c r="M68" s="6">
        <v>50</v>
      </c>
      <c r="N68" s="55">
        <v>1</v>
      </c>
      <c r="O68" s="25">
        <v>70</v>
      </c>
      <c r="P68" s="58">
        <v>3</v>
      </c>
      <c r="Q68" s="15">
        <v>75</v>
      </c>
      <c r="R68" s="52">
        <v>3</v>
      </c>
      <c r="S68" s="23">
        <f>(G68*H66+I68*J66+K68*L66+M68*N66+O68*P66+Q68*R66)/15</f>
        <v>69.666666666666671</v>
      </c>
    </row>
    <row r="69" spans="1:19" ht="19.95" customHeight="1" x14ac:dyDescent="0.25">
      <c r="A69" s="50"/>
      <c r="B69" s="11" t="s">
        <v>12</v>
      </c>
      <c r="C69" s="38">
        <v>0.71399999999999997</v>
      </c>
      <c r="D69" s="39">
        <v>3.2559999999999998</v>
      </c>
      <c r="E69" s="40">
        <v>2.6509999999999998</v>
      </c>
      <c r="F69" s="41">
        <v>0.58199999999999996</v>
      </c>
      <c r="G69" s="30">
        <v>95</v>
      </c>
      <c r="H69" s="56">
        <v>3</v>
      </c>
      <c r="I69" s="31">
        <v>60</v>
      </c>
      <c r="J69" s="59">
        <v>3</v>
      </c>
      <c r="K69" s="32">
        <v>85</v>
      </c>
      <c r="L69" s="53">
        <v>2</v>
      </c>
      <c r="M69" s="33">
        <v>65</v>
      </c>
      <c r="N69" s="56">
        <v>1</v>
      </c>
      <c r="O69" s="31">
        <v>85</v>
      </c>
      <c r="P69" s="59">
        <v>4</v>
      </c>
      <c r="Q69" s="32">
        <v>90</v>
      </c>
      <c r="R69" s="53">
        <v>2</v>
      </c>
      <c r="S69" s="23">
        <f t="shared" ref="S69:S89" si="3">(G69*H66+I69*J66+K69*L66+M69*N66+O69*P66+Q69*R66)/15</f>
        <v>84.333333333333329</v>
      </c>
    </row>
    <row r="70" spans="1:19" ht="19.95" customHeight="1" x14ac:dyDescent="0.25">
      <c r="A70" s="60">
        <v>18</v>
      </c>
      <c r="B70" s="4" t="s">
        <v>9</v>
      </c>
      <c r="C70" s="34">
        <v>0.50700000000000001</v>
      </c>
      <c r="D70" s="35">
        <v>2.1669999999999998</v>
      </c>
      <c r="E70" s="36">
        <v>1.6020000000000001</v>
      </c>
      <c r="F70" s="37">
        <v>0.42699999999999999</v>
      </c>
      <c r="G70" s="12">
        <v>40</v>
      </c>
      <c r="H70" s="54">
        <v>4</v>
      </c>
      <c r="I70" s="13">
        <v>25</v>
      </c>
      <c r="J70" s="57">
        <v>1</v>
      </c>
      <c r="K70" s="14">
        <v>35</v>
      </c>
      <c r="L70" s="51">
        <v>1</v>
      </c>
      <c r="M70" s="5">
        <v>30</v>
      </c>
      <c r="N70" s="54">
        <v>2</v>
      </c>
      <c r="O70" s="13">
        <v>35</v>
      </c>
      <c r="P70" s="57">
        <v>5</v>
      </c>
      <c r="Q70" s="14">
        <v>40</v>
      </c>
      <c r="R70" s="51">
        <v>2</v>
      </c>
      <c r="S70" s="23">
        <f>(G70*H70+I70*J70+K70*L70+M70*N70+O70*P70+Q70*R70)/15</f>
        <v>35.666666666666664</v>
      </c>
    </row>
    <row r="71" spans="1:19" ht="19.95" customHeight="1" x14ac:dyDescent="0.25">
      <c r="A71" s="61"/>
      <c r="B71" s="1" t="s">
        <v>10</v>
      </c>
      <c r="C71" s="34">
        <v>0.58099999999999996</v>
      </c>
      <c r="D71" s="35">
        <v>2.5390000000000001</v>
      </c>
      <c r="E71" s="36">
        <v>1.8759999999999999</v>
      </c>
      <c r="F71" s="37">
        <v>0.48499999999999999</v>
      </c>
      <c r="G71" s="24">
        <v>55</v>
      </c>
      <c r="H71" s="55">
        <v>3</v>
      </c>
      <c r="I71" s="25">
        <v>35</v>
      </c>
      <c r="J71" s="58">
        <v>2</v>
      </c>
      <c r="K71" s="15">
        <v>50</v>
      </c>
      <c r="L71" s="52">
        <v>3</v>
      </c>
      <c r="M71" s="6">
        <v>40</v>
      </c>
      <c r="N71" s="55">
        <v>1</v>
      </c>
      <c r="O71" s="25">
        <v>50</v>
      </c>
      <c r="P71" s="58">
        <v>3</v>
      </c>
      <c r="Q71" s="15">
        <v>55</v>
      </c>
      <c r="R71" s="52">
        <v>3</v>
      </c>
      <c r="S71" s="23">
        <f>(G71*H70+I71*J70+K71*L70+M71*N70+O71*P70+Q71*R70)/15</f>
        <v>49.666666666666664</v>
      </c>
    </row>
    <row r="72" spans="1:19" ht="19.95" customHeight="1" x14ac:dyDescent="0.25">
      <c r="A72" s="61"/>
      <c r="B72" s="1" t="s">
        <v>11</v>
      </c>
      <c r="C72" s="34">
        <v>0.65400000000000003</v>
      </c>
      <c r="D72" s="35">
        <v>2.8690000000000002</v>
      </c>
      <c r="E72" s="36">
        <v>2.1579999999999999</v>
      </c>
      <c r="F72" s="37">
        <v>0.55000000000000004</v>
      </c>
      <c r="G72" s="24">
        <v>70</v>
      </c>
      <c r="H72" s="55">
        <v>4</v>
      </c>
      <c r="I72" s="25">
        <v>45</v>
      </c>
      <c r="J72" s="58">
        <v>1</v>
      </c>
      <c r="K72" s="15">
        <v>65</v>
      </c>
      <c r="L72" s="52">
        <v>2</v>
      </c>
      <c r="M72" s="6">
        <v>50</v>
      </c>
      <c r="N72" s="55">
        <v>3</v>
      </c>
      <c r="O72" s="25">
        <v>70</v>
      </c>
      <c r="P72" s="58">
        <v>3</v>
      </c>
      <c r="Q72" s="15">
        <v>70</v>
      </c>
      <c r="R72" s="52">
        <v>2</v>
      </c>
      <c r="S72" s="23">
        <f>(G72*H70+I72*J70+K72*L70+M72*N70+O72*P70+Q72*R70)/15</f>
        <v>65.333333333333329</v>
      </c>
    </row>
    <row r="73" spans="1:19" ht="19.95" customHeight="1" x14ac:dyDescent="0.25">
      <c r="A73" s="62"/>
      <c r="B73" s="11" t="s">
        <v>12</v>
      </c>
      <c r="C73" s="38">
        <v>0.70599999999999996</v>
      </c>
      <c r="D73" s="39">
        <v>3.2149999999999999</v>
      </c>
      <c r="E73" s="40">
        <v>2.758</v>
      </c>
      <c r="F73" s="41">
        <v>0.61</v>
      </c>
      <c r="G73" s="30">
        <v>85</v>
      </c>
      <c r="H73" s="56">
        <v>3</v>
      </c>
      <c r="I73" s="31">
        <v>55</v>
      </c>
      <c r="J73" s="59">
        <v>1</v>
      </c>
      <c r="K73" s="32">
        <v>80</v>
      </c>
      <c r="L73" s="53">
        <v>1</v>
      </c>
      <c r="M73" s="33">
        <v>65</v>
      </c>
      <c r="N73" s="56">
        <v>2</v>
      </c>
      <c r="O73" s="31">
        <v>85</v>
      </c>
      <c r="P73" s="59">
        <v>5</v>
      </c>
      <c r="Q73" s="32">
        <v>85</v>
      </c>
      <c r="R73" s="53">
        <v>3</v>
      </c>
      <c r="S73" s="23">
        <f t="shared" si="3"/>
        <v>80</v>
      </c>
    </row>
    <row r="74" spans="1:19" ht="19.95" customHeight="1" x14ac:dyDescent="0.25">
      <c r="A74" s="48">
        <v>19</v>
      </c>
      <c r="B74" s="4" t="s">
        <v>9</v>
      </c>
      <c r="C74" s="34">
        <v>0.49299999999999999</v>
      </c>
      <c r="D74" s="35">
        <v>2.093</v>
      </c>
      <c r="E74" s="36">
        <v>1.577</v>
      </c>
      <c r="F74" s="37">
        <v>0.42699999999999999</v>
      </c>
      <c r="G74" s="12">
        <v>45</v>
      </c>
      <c r="H74" s="54">
        <v>4</v>
      </c>
      <c r="I74" s="13">
        <v>30</v>
      </c>
      <c r="J74" s="57">
        <v>2</v>
      </c>
      <c r="K74" s="14">
        <v>35</v>
      </c>
      <c r="L74" s="51">
        <v>1</v>
      </c>
      <c r="M74" s="5">
        <v>25</v>
      </c>
      <c r="N74" s="54">
        <v>1</v>
      </c>
      <c r="O74" s="13">
        <v>40</v>
      </c>
      <c r="P74" s="57">
        <v>4</v>
      </c>
      <c r="Q74" s="14">
        <v>45</v>
      </c>
      <c r="R74" s="51">
        <v>3</v>
      </c>
      <c r="S74" s="23">
        <f t="shared" si="3"/>
        <v>38.666666666666664</v>
      </c>
    </row>
    <row r="75" spans="1:19" ht="19.95" customHeight="1" x14ac:dyDescent="0.25">
      <c r="A75" s="49"/>
      <c r="B75" s="1" t="s">
        <v>10</v>
      </c>
      <c r="C75" s="34">
        <v>0.58099999999999996</v>
      </c>
      <c r="D75" s="35">
        <v>2.4809999999999999</v>
      </c>
      <c r="E75" s="36">
        <v>1.8640000000000001</v>
      </c>
      <c r="F75" s="37">
        <v>0.48</v>
      </c>
      <c r="G75" s="24">
        <v>60</v>
      </c>
      <c r="H75" s="55">
        <v>3</v>
      </c>
      <c r="I75" s="25">
        <v>40</v>
      </c>
      <c r="J75" s="58">
        <v>1</v>
      </c>
      <c r="K75" s="15">
        <v>50</v>
      </c>
      <c r="L75" s="52">
        <v>2</v>
      </c>
      <c r="M75" s="6">
        <v>35</v>
      </c>
      <c r="N75" s="55">
        <v>1</v>
      </c>
      <c r="O75" s="25">
        <v>55</v>
      </c>
      <c r="P75" s="58">
        <v>4</v>
      </c>
      <c r="Q75" s="15">
        <v>60</v>
      </c>
      <c r="R75" s="52">
        <v>4</v>
      </c>
      <c r="S75" s="23">
        <f t="shared" si="3"/>
        <v>51.333333333333336</v>
      </c>
    </row>
    <row r="76" spans="1:19" ht="19.95" customHeight="1" x14ac:dyDescent="0.25">
      <c r="A76" s="49"/>
      <c r="B76" s="1" t="s">
        <v>11</v>
      </c>
      <c r="C76" s="34">
        <v>0.65800000000000003</v>
      </c>
      <c r="D76" s="35">
        <v>2.851</v>
      </c>
      <c r="E76" s="36">
        <v>2.1749999999999998</v>
      </c>
      <c r="F76" s="37">
        <v>0.55000000000000004</v>
      </c>
      <c r="G76" s="24">
        <v>75</v>
      </c>
      <c r="H76" s="55">
        <v>4</v>
      </c>
      <c r="I76" s="25">
        <v>60</v>
      </c>
      <c r="J76" s="58">
        <v>1</v>
      </c>
      <c r="K76" s="15">
        <v>65</v>
      </c>
      <c r="L76" s="52">
        <v>3</v>
      </c>
      <c r="M76" s="6">
        <v>45</v>
      </c>
      <c r="N76" s="55">
        <v>2</v>
      </c>
      <c r="O76" s="25">
        <v>70</v>
      </c>
      <c r="P76" s="58">
        <v>3</v>
      </c>
      <c r="Q76" s="15">
        <v>75</v>
      </c>
      <c r="R76" s="52">
        <v>2</v>
      </c>
      <c r="S76" s="23">
        <f t="shared" si="3"/>
        <v>67.666666666666671</v>
      </c>
    </row>
    <row r="77" spans="1:19" ht="19.95" customHeight="1" x14ac:dyDescent="0.25">
      <c r="A77" s="50"/>
      <c r="B77" s="11" t="s">
        <v>12</v>
      </c>
      <c r="C77" s="38">
        <v>0.72799999999999998</v>
      </c>
      <c r="D77" s="39">
        <v>3.1520000000000001</v>
      </c>
      <c r="E77" s="40">
        <v>2.738</v>
      </c>
      <c r="F77" s="41">
        <v>0.59599999999999997</v>
      </c>
      <c r="G77" s="30">
        <v>90</v>
      </c>
      <c r="H77" s="56">
        <v>3</v>
      </c>
      <c r="I77" s="31">
        <v>50</v>
      </c>
      <c r="J77" s="59">
        <v>2</v>
      </c>
      <c r="K77" s="32">
        <v>80</v>
      </c>
      <c r="L77" s="53">
        <v>1</v>
      </c>
      <c r="M77" s="33">
        <v>60</v>
      </c>
      <c r="N77" s="56">
        <v>2</v>
      </c>
      <c r="O77" s="31">
        <v>85</v>
      </c>
      <c r="P77" s="59">
        <v>4</v>
      </c>
      <c r="Q77" s="32">
        <v>90</v>
      </c>
      <c r="R77" s="53">
        <v>3</v>
      </c>
      <c r="S77" s="23">
        <f t="shared" si="3"/>
        <v>80.666666666666671</v>
      </c>
    </row>
    <row r="78" spans="1:19" ht="19.95" customHeight="1" x14ac:dyDescent="0.25">
      <c r="A78" s="48">
        <v>20</v>
      </c>
      <c r="B78" s="4" t="s">
        <v>9</v>
      </c>
      <c r="C78" s="34">
        <v>0.51700000000000002</v>
      </c>
      <c r="D78" s="35">
        <v>2.238</v>
      </c>
      <c r="E78" s="36">
        <v>1.5629999999999999</v>
      </c>
      <c r="F78" s="37">
        <v>0.39500000000000002</v>
      </c>
      <c r="G78" s="12">
        <v>50</v>
      </c>
      <c r="H78" s="54">
        <v>4</v>
      </c>
      <c r="I78" s="13">
        <v>35</v>
      </c>
      <c r="J78" s="57">
        <v>1</v>
      </c>
      <c r="K78" s="14">
        <v>40</v>
      </c>
      <c r="L78" s="51">
        <v>2</v>
      </c>
      <c r="M78" s="5">
        <v>30</v>
      </c>
      <c r="N78" s="54">
        <v>1</v>
      </c>
      <c r="O78" s="13">
        <v>40</v>
      </c>
      <c r="P78" s="57">
        <v>3</v>
      </c>
      <c r="Q78" s="14">
        <v>45</v>
      </c>
      <c r="R78" s="51">
        <v>4</v>
      </c>
      <c r="S78" s="23">
        <f>(G78*H78+I78*J78+K78*L78+M78*N78+O78*P78+Q78*R78)/15</f>
        <v>43</v>
      </c>
    </row>
    <row r="79" spans="1:19" ht="19.95" customHeight="1" x14ac:dyDescent="0.25">
      <c r="A79" s="49"/>
      <c r="B79" s="1" t="s">
        <v>10</v>
      </c>
      <c r="C79" s="34">
        <v>0.58899999999999997</v>
      </c>
      <c r="D79" s="35">
        <v>2.593</v>
      </c>
      <c r="E79" s="36">
        <v>1.84</v>
      </c>
      <c r="F79" s="37">
        <v>0.45700000000000002</v>
      </c>
      <c r="G79" s="24">
        <v>65</v>
      </c>
      <c r="H79" s="55">
        <v>3</v>
      </c>
      <c r="I79" s="25">
        <v>45</v>
      </c>
      <c r="J79" s="58">
        <v>1</v>
      </c>
      <c r="K79" s="15">
        <v>55</v>
      </c>
      <c r="L79" s="52">
        <v>1</v>
      </c>
      <c r="M79" s="6">
        <v>40</v>
      </c>
      <c r="N79" s="55">
        <v>2</v>
      </c>
      <c r="O79" s="25">
        <v>55</v>
      </c>
      <c r="P79" s="58">
        <v>5</v>
      </c>
      <c r="Q79" s="15">
        <v>60</v>
      </c>
      <c r="R79" s="52">
        <v>3</v>
      </c>
      <c r="S79" s="23">
        <f>(G79*H78+I79*J78+K79*L78+M79*N78+O79*P78+Q79*R78)/15</f>
        <v>57.333333333333336</v>
      </c>
    </row>
    <row r="80" spans="1:19" ht="19.95" customHeight="1" x14ac:dyDescent="0.25">
      <c r="A80" s="49"/>
      <c r="B80" s="1" t="s">
        <v>11</v>
      </c>
      <c r="C80" s="34">
        <v>0.66300000000000003</v>
      </c>
      <c r="D80" s="35">
        <v>2.9129999999999998</v>
      </c>
      <c r="E80" s="36">
        <v>2.153</v>
      </c>
      <c r="F80" s="37">
        <v>0.51200000000000001</v>
      </c>
      <c r="G80" s="24">
        <v>80</v>
      </c>
      <c r="H80" s="55">
        <v>4</v>
      </c>
      <c r="I80" s="25">
        <v>55</v>
      </c>
      <c r="J80" s="58">
        <v>2</v>
      </c>
      <c r="K80" s="15">
        <v>70</v>
      </c>
      <c r="L80" s="52">
        <v>1</v>
      </c>
      <c r="M80" s="6">
        <v>50</v>
      </c>
      <c r="N80" s="55">
        <v>1</v>
      </c>
      <c r="O80" s="25">
        <v>70</v>
      </c>
      <c r="P80" s="58">
        <v>4</v>
      </c>
      <c r="Q80" s="15">
        <v>75</v>
      </c>
      <c r="R80" s="52">
        <v>3</v>
      </c>
      <c r="S80" s="23">
        <f>(G80*H78+I80*J78+K80*L78+M80*N78+O80*P78+Q80*R78)/15</f>
        <v>71.666666666666671</v>
      </c>
    </row>
    <row r="81" spans="1:19" ht="19.95" customHeight="1" x14ac:dyDescent="0.25">
      <c r="A81" s="50"/>
      <c r="B81" s="11" t="s">
        <v>12</v>
      </c>
      <c r="C81" s="38">
        <v>0.72799999999999998</v>
      </c>
      <c r="D81" s="39">
        <v>3.3039999999999998</v>
      </c>
      <c r="E81" s="40">
        <v>2.722</v>
      </c>
      <c r="F81" s="41">
        <v>0.55400000000000005</v>
      </c>
      <c r="G81" s="30">
        <v>95</v>
      </c>
      <c r="H81" s="56">
        <v>3</v>
      </c>
      <c r="I81" s="31">
        <v>65</v>
      </c>
      <c r="J81" s="59">
        <v>1</v>
      </c>
      <c r="K81" s="32">
        <v>85</v>
      </c>
      <c r="L81" s="53">
        <v>2</v>
      </c>
      <c r="M81" s="33">
        <v>65</v>
      </c>
      <c r="N81" s="56">
        <v>1</v>
      </c>
      <c r="O81" s="31">
        <v>85</v>
      </c>
      <c r="P81" s="59">
        <v>5</v>
      </c>
      <c r="Q81" s="32">
        <v>90</v>
      </c>
      <c r="R81" s="53">
        <v>3</v>
      </c>
      <c r="S81" s="23">
        <f t="shared" si="3"/>
        <v>86.333333333333329</v>
      </c>
    </row>
    <row r="82" spans="1:19" ht="19.95" customHeight="1" x14ac:dyDescent="0.25">
      <c r="A82" s="48">
        <v>21</v>
      </c>
      <c r="B82" s="4" t="s">
        <v>9</v>
      </c>
      <c r="C82" s="34">
        <v>0.50700000000000001</v>
      </c>
      <c r="D82" s="35">
        <v>2.105</v>
      </c>
      <c r="E82" s="36">
        <v>1.55</v>
      </c>
      <c r="F82" s="37">
        <v>0.42099999999999999</v>
      </c>
      <c r="G82" s="12">
        <v>45</v>
      </c>
      <c r="H82" s="54">
        <v>4</v>
      </c>
      <c r="I82" s="13">
        <v>30</v>
      </c>
      <c r="J82" s="57">
        <v>1</v>
      </c>
      <c r="K82" s="14">
        <v>35</v>
      </c>
      <c r="L82" s="51">
        <v>1</v>
      </c>
      <c r="M82" s="5">
        <v>30</v>
      </c>
      <c r="N82" s="54">
        <v>2</v>
      </c>
      <c r="O82" s="13">
        <v>40</v>
      </c>
      <c r="P82" s="57">
        <v>5</v>
      </c>
      <c r="Q82" s="14">
        <v>40</v>
      </c>
      <c r="R82" s="51">
        <v>2</v>
      </c>
      <c r="S82" s="23">
        <f>(G82*H82+I82*J82+K82*L82+M82*N82+O82*P82+Q82*R82)/15</f>
        <v>39</v>
      </c>
    </row>
    <row r="83" spans="1:19" ht="19.95" customHeight="1" x14ac:dyDescent="0.25">
      <c r="A83" s="49"/>
      <c r="B83" s="1" t="s">
        <v>10</v>
      </c>
      <c r="C83" s="34">
        <v>0.59</v>
      </c>
      <c r="D83" s="35">
        <v>2.431</v>
      </c>
      <c r="E83" s="36">
        <v>1.8740000000000001</v>
      </c>
      <c r="F83" s="37">
        <v>0.48199999999999998</v>
      </c>
      <c r="G83" s="24">
        <v>60</v>
      </c>
      <c r="H83" s="55">
        <v>4</v>
      </c>
      <c r="I83" s="25">
        <v>40</v>
      </c>
      <c r="J83" s="58">
        <v>2</v>
      </c>
      <c r="K83" s="15">
        <v>50</v>
      </c>
      <c r="L83" s="52">
        <v>1</v>
      </c>
      <c r="M83" s="6">
        <v>40</v>
      </c>
      <c r="N83" s="55">
        <v>1</v>
      </c>
      <c r="O83" s="25">
        <v>55</v>
      </c>
      <c r="P83" s="58">
        <v>5</v>
      </c>
      <c r="Q83" s="15">
        <v>55</v>
      </c>
      <c r="R83" s="52">
        <v>2</v>
      </c>
      <c r="S83" s="23">
        <f>(G83*H82+I83*J82+K83*L82+M83*N82+O83*P82+Q83*R82)/15</f>
        <v>53</v>
      </c>
    </row>
    <row r="84" spans="1:19" ht="19.95" customHeight="1" x14ac:dyDescent="0.25">
      <c r="A84" s="49"/>
      <c r="B84" s="1" t="s">
        <v>11</v>
      </c>
      <c r="C84" s="34">
        <v>0.65900000000000003</v>
      </c>
      <c r="D84" s="35">
        <v>2.7320000000000002</v>
      </c>
      <c r="E84" s="36">
        <v>2.1320000000000001</v>
      </c>
      <c r="F84" s="37">
        <v>0.55000000000000004</v>
      </c>
      <c r="G84" s="24">
        <v>75</v>
      </c>
      <c r="H84" s="55">
        <v>3</v>
      </c>
      <c r="I84" s="25">
        <v>50</v>
      </c>
      <c r="J84" s="58">
        <v>1</v>
      </c>
      <c r="K84" s="15">
        <v>65</v>
      </c>
      <c r="L84" s="52">
        <v>2</v>
      </c>
      <c r="M84" s="6">
        <v>50</v>
      </c>
      <c r="N84" s="55">
        <v>2</v>
      </c>
      <c r="O84" s="25">
        <v>70</v>
      </c>
      <c r="P84" s="58">
        <v>4</v>
      </c>
      <c r="Q84" s="15">
        <v>70</v>
      </c>
      <c r="R84" s="52">
        <v>3</v>
      </c>
      <c r="S84" s="23">
        <f>(G84*H82+I84*J82+K84*L82+M84*N82+O84*P82+Q84*R82)/15</f>
        <v>67</v>
      </c>
    </row>
    <row r="85" spans="1:19" ht="19.95" customHeight="1" x14ac:dyDescent="0.25">
      <c r="A85" s="50"/>
      <c r="B85" s="11" t="s">
        <v>12</v>
      </c>
      <c r="C85" s="38">
        <v>0.73599999999999999</v>
      </c>
      <c r="D85" s="39">
        <v>3.0870000000000002</v>
      </c>
      <c r="E85" s="40">
        <v>2.6989999999999998</v>
      </c>
      <c r="F85" s="41">
        <v>0.60199999999999998</v>
      </c>
      <c r="G85" s="30">
        <v>90</v>
      </c>
      <c r="H85" s="56">
        <v>4</v>
      </c>
      <c r="I85" s="31">
        <v>60</v>
      </c>
      <c r="J85" s="59">
        <v>1</v>
      </c>
      <c r="K85" s="32">
        <v>80</v>
      </c>
      <c r="L85" s="53">
        <v>3</v>
      </c>
      <c r="M85" s="33">
        <v>65</v>
      </c>
      <c r="N85" s="56">
        <v>2</v>
      </c>
      <c r="O85" s="31">
        <v>85</v>
      </c>
      <c r="P85" s="59">
        <v>3</v>
      </c>
      <c r="Q85" s="32">
        <v>85</v>
      </c>
      <c r="R85" s="53">
        <v>2</v>
      </c>
      <c r="S85" s="23">
        <f t="shared" si="3"/>
        <v>81.666666666666671</v>
      </c>
    </row>
    <row r="86" spans="1:19" ht="19.95" customHeight="1" x14ac:dyDescent="0.25">
      <c r="A86" s="48">
        <v>22</v>
      </c>
      <c r="B86" s="4" t="s">
        <v>9</v>
      </c>
      <c r="C86" s="34">
        <v>0.496</v>
      </c>
      <c r="D86" s="35">
        <v>2.0750000000000002</v>
      </c>
      <c r="E86" s="36">
        <v>1.581</v>
      </c>
      <c r="F86" s="37">
        <v>0.42599999999999999</v>
      </c>
      <c r="G86" s="12">
        <v>40</v>
      </c>
      <c r="H86" s="54">
        <v>3</v>
      </c>
      <c r="I86" s="13">
        <v>30</v>
      </c>
      <c r="J86" s="57">
        <v>2</v>
      </c>
      <c r="K86" s="14">
        <v>35</v>
      </c>
      <c r="L86" s="51">
        <v>1</v>
      </c>
      <c r="M86" s="5">
        <v>25</v>
      </c>
      <c r="N86" s="54">
        <v>1</v>
      </c>
      <c r="O86" s="13">
        <v>35</v>
      </c>
      <c r="P86" s="57">
        <v>5</v>
      </c>
      <c r="Q86" s="14">
        <v>40</v>
      </c>
      <c r="R86" s="51">
        <v>3</v>
      </c>
      <c r="S86" s="23">
        <f>(G86*H86+I86*J86+K86*L86+M86*N86+O86*P86+Q86*R86)/15</f>
        <v>35.666666666666664</v>
      </c>
    </row>
    <row r="87" spans="1:19" ht="19.95" customHeight="1" x14ac:dyDescent="0.25">
      <c r="A87" s="49"/>
      <c r="B87" s="1" t="s">
        <v>10</v>
      </c>
      <c r="C87" s="34">
        <v>0.58199999999999996</v>
      </c>
      <c r="D87" s="35">
        <v>2.4609999999999999</v>
      </c>
      <c r="E87" s="36">
        <v>1.921</v>
      </c>
      <c r="F87" s="37">
        <v>0.48</v>
      </c>
      <c r="G87" s="24">
        <v>55</v>
      </c>
      <c r="H87" s="55">
        <v>4</v>
      </c>
      <c r="I87" s="25">
        <v>40</v>
      </c>
      <c r="J87" s="58">
        <v>1</v>
      </c>
      <c r="K87" s="15">
        <v>50</v>
      </c>
      <c r="L87" s="52">
        <v>2</v>
      </c>
      <c r="M87" s="6">
        <v>35</v>
      </c>
      <c r="N87" s="55">
        <v>1</v>
      </c>
      <c r="O87" s="25">
        <v>50</v>
      </c>
      <c r="P87" s="58">
        <v>4</v>
      </c>
      <c r="Q87" s="15">
        <v>55</v>
      </c>
      <c r="R87" s="52">
        <v>3</v>
      </c>
      <c r="S87" s="23">
        <f>(G87*H86+I87*J86+K87*L86+M87*N86+O87*P86+Q87*R86)/15</f>
        <v>49.666666666666664</v>
      </c>
    </row>
    <row r="88" spans="1:19" ht="19.95" customHeight="1" x14ac:dyDescent="0.25">
      <c r="A88" s="49"/>
      <c r="B88" s="1" t="s">
        <v>11</v>
      </c>
      <c r="C88" s="34">
        <v>0.64700000000000002</v>
      </c>
      <c r="D88" s="35">
        <v>2.7709999999999999</v>
      </c>
      <c r="E88" s="36">
        <v>2.2490000000000001</v>
      </c>
      <c r="F88" s="37">
        <v>0.54800000000000004</v>
      </c>
      <c r="G88" s="24">
        <v>70</v>
      </c>
      <c r="H88" s="55">
        <v>3</v>
      </c>
      <c r="I88" s="25">
        <v>50</v>
      </c>
      <c r="J88" s="58">
        <v>1</v>
      </c>
      <c r="K88" s="15">
        <v>80</v>
      </c>
      <c r="L88" s="52">
        <v>1</v>
      </c>
      <c r="M88" s="6">
        <v>50</v>
      </c>
      <c r="N88" s="55">
        <v>2</v>
      </c>
      <c r="O88" s="25">
        <v>65</v>
      </c>
      <c r="P88" s="58">
        <v>5</v>
      </c>
      <c r="Q88" s="15">
        <v>70</v>
      </c>
      <c r="R88" s="52">
        <v>3</v>
      </c>
      <c r="S88" s="23">
        <f>(G88*H86+I88*J86+K88*L86+M88*N86+O88*P86+Q88*R86)/15</f>
        <v>65</v>
      </c>
    </row>
    <row r="89" spans="1:19" ht="19.95" customHeight="1" x14ac:dyDescent="0.25">
      <c r="A89" s="50"/>
      <c r="B89" s="11" t="s">
        <v>12</v>
      </c>
      <c r="C89" s="38">
        <v>0.70899999999999996</v>
      </c>
      <c r="D89" s="39">
        <v>3.133</v>
      </c>
      <c r="E89" s="40">
        <v>2.68</v>
      </c>
      <c r="F89" s="41">
        <v>0.60699999999999998</v>
      </c>
      <c r="G89" s="30">
        <v>85</v>
      </c>
      <c r="H89" s="56">
        <v>4</v>
      </c>
      <c r="I89" s="31">
        <v>60</v>
      </c>
      <c r="J89" s="59">
        <v>2</v>
      </c>
      <c r="K89" s="32">
        <v>65</v>
      </c>
      <c r="L89" s="53">
        <v>1</v>
      </c>
      <c r="M89" s="33">
        <v>65</v>
      </c>
      <c r="N89" s="56">
        <v>1</v>
      </c>
      <c r="O89" s="31">
        <v>85</v>
      </c>
      <c r="P89" s="59">
        <v>3</v>
      </c>
      <c r="Q89" s="32">
        <v>85</v>
      </c>
      <c r="R89" s="53">
        <v>4</v>
      </c>
      <c r="S89" s="23">
        <f t="shared" si="3"/>
        <v>79</v>
      </c>
    </row>
    <row r="90" spans="1:19" ht="19.95" customHeight="1" x14ac:dyDescent="0.25">
      <c r="A90" s="48">
        <v>23</v>
      </c>
      <c r="B90" s="4" t="s">
        <v>9</v>
      </c>
      <c r="C90" s="34">
        <v>0.52500000000000002</v>
      </c>
      <c r="D90" s="35">
        <v>2.2450000000000001</v>
      </c>
      <c r="E90" s="36">
        <v>1.631</v>
      </c>
      <c r="F90" s="37">
        <v>0.42499999999999999</v>
      </c>
      <c r="G90" s="12">
        <v>50</v>
      </c>
      <c r="H90" s="54">
        <v>3</v>
      </c>
      <c r="I90" s="13">
        <v>25</v>
      </c>
      <c r="J90" s="57">
        <v>1</v>
      </c>
      <c r="K90" s="14">
        <v>40</v>
      </c>
      <c r="L90" s="51">
        <v>2</v>
      </c>
      <c r="M90" s="5">
        <v>30</v>
      </c>
      <c r="N90" s="54">
        <v>1</v>
      </c>
      <c r="O90" s="13">
        <v>35</v>
      </c>
      <c r="P90" s="57">
        <v>5</v>
      </c>
      <c r="Q90" s="14">
        <v>45</v>
      </c>
      <c r="R90" s="51">
        <v>3</v>
      </c>
      <c r="S90" s="23">
        <f>(G90*H90+I90*J90+K90*L90+M90*N90+O90*P90+Q90*R90)/15</f>
        <v>39.666666666666664</v>
      </c>
    </row>
    <row r="91" spans="1:19" ht="19.95" customHeight="1" x14ac:dyDescent="0.25">
      <c r="A91" s="49"/>
      <c r="B91" s="1" t="s">
        <v>10</v>
      </c>
      <c r="C91" s="34">
        <v>0.59499999999999997</v>
      </c>
      <c r="D91" s="35">
        <v>2.6190000000000002</v>
      </c>
      <c r="E91" s="36">
        <v>1.9139999999999999</v>
      </c>
      <c r="F91" s="37">
        <v>0.49399999999999999</v>
      </c>
      <c r="G91" s="24">
        <v>65</v>
      </c>
      <c r="H91" s="55">
        <v>4</v>
      </c>
      <c r="I91" s="25">
        <v>35</v>
      </c>
      <c r="J91" s="58">
        <v>1</v>
      </c>
      <c r="K91" s="15">
        <v>55</v>
      </c>
      <c r="L91" s="52">
        <v>3</v>
      </c>
      <c r="M91" s="6">
        <v>40</v>
      </c>
      <c r="N91" s="55">
        <v>2</v>
      </c>
      <c r="O91" s="25">
        <v>50</v>
      </c>
      <c r="P91" s="58">
        <v>3</v>
      </c>
      <c r="Q91" s="15">
        <v>60</v>
      </c>
      <c r="R91" s="52">
        <v>2</v>
      </c>
      <c r="S91" s="23">
        <f>(G91*H90+I91*J90+K91*L90+M91*N90+O91*P90+Q91*R90)/15</f>
        <v>54</v>
      </c>
    </row>
    <row r="92" spans="1:19" ht="19.95" customHeight="1" x14ac:dyDescent="0.25">
      <c r="A92" s="49"/>
      <c r="B92" s="1" t="s">
        <v>11</v>
      </c>
      <c r="C92" s="34">
        <v>0.67100000000000004</v>
      </c>
      <c r="D92" s="35">
        <v>3.0049999999999999</v>
      </c>
      <c r="E92" s="36">
        <v>2.2450000000000001</v>
      </c>
      <c r="F92" s="37">
        <v>0.54900000000000004</v>
      </c>
      <c r="G92" s="24">
        <v>80</v>
      </c>
      <c r="H92" s="55">
        <v>3</v>
      </c>
      <c r="I92" s="25">
        <v>45</v>
      </c>
      <c r="J92" s="58">
        <v>2</v>
      </c>
      <c r="K92" s="15">
        <v>70</v>
      </c>
      <c r="L92" s="52">
        <v>1</v>
      </c>
      <c r="M92" s="6">
        <v>55</v>
      </c>
      <c r="N92" s="55">
        <v>1</v>
      </c>
      <c r="O92" s="25">
        <v>65</v>
      </c>
      <c r="P92" s="58">
        <v>5</v>
      </c>
      <c r="Q92" s="15">
        <v>75</v>
      </c>
      <c r="R92" s="52">
        <v>3</v>
      </c>
      <c r="S92" s="23">
        <f>(G92*H90+I92*J90+K92*L90+M92*N90+O92*P90+Q92*R90)/15</f>
        <v>68.666666666666671</v>
      </c>
    </row>
    <row r="93" spans="1:19" ht="19.95" customHeight="1" x14ac:dyDescent="0.25">
      <c r="A93" s="50"/>
      <c r="B93" s="11" t="s">
        <v>12</v>
      </c>
      <c r="C93" s="38">
        <v>0.745</v>
      </c>
      <c r="D93" s="39">
        <v>3.3159999999999998</v>
      </c>
      <c r="E93" s="40">
        <v>2.819</v>
      </c>
      <c r="F93" s="41">
        <v>0.60599999999999998</v>
      </c>
      <c r="G93" s="30">
        <v>95</v>
      </c>
      <c r="H93" s="56">
        <v>4</v>
      </c>
      <c r="I93" s="31">
        <v>55</v>
      </c>
      <c r="J93" s="59">
        <v>1</v>
      </c>
      <c r="K93" s="32">
        <v>85</v>
      </c>
      <c r="L93" s="53">
        <v>2</v>
      </c>
      <c r="M93" s="33">
        <v>70</v>
      </c>
      <c r="N93" s="56">
        <v>2</v>
      </c>
      <c r="O93" s="31">
        <v>80</v>
      </c>
      <c r="P93" s="59">
        <v>3</v>
      </c>
      <c r="Q93" s="32">
        <v>90</v>
      </c>
      <c r="R93" s="53">
        <v>3</v>
      </c>
      <c r="S93" s="23">
        <f>(G93*H90+I93*J90+K93*L90+M93*N90+O93*P90+Q93*R90)/15</f>
        <v>83.333333333333329</v>
      </c>
    </row>
    <row r="94" spans="1:19" ht="19.95" customHeight="1" x14ac:dyDescent="0.25">
      <c r="A94" s="48">
        <v>24</v>
      </c>
      <c r="B94" s="4" t="s">
        <v>9</v>
      </c>
      <c r="C94" s="34">
        <v>0.499</v>
      </c>
      <c r="D94" s="35">
        <v>2.2130000000000001</v>
      </c>
      <c r="E94" s="36">
        <v>1.5960000000000001</v>
      </c>
      <c r="F94" s="37">
        <v>0.40200000000000002</v>
      </c>
      <c r="G94" s="12">
        <v>45</v>
      </c>
      <c r="H94" s="54">
        <v>3</v>
      </c>
      <c r="I94" s="13">
        <v>25</v>
      </c>
      <c r="J94" s="57">
        <v>3</v>
      </c>
      <c r="K94" s="14">
        <v>35</v>
      </c>
      <c r="L94" s="51">
        <v>1</v>
      </c>
      <c r="M94" s="5">
        <v>30</v>
      </c>
      <c r="N94" s="54">
        <v>2</v>
      </c>
      <c r="O94" s="13">
        <v>40</v>
      </c>
      <c r="P94" s="57">
        <v>4</v>
      </c>
      <c r="Q94" s="14">
        <v>45</v>
      </c>
      <c r="R94" s="51">
        <v>2</v>
      </c>
      <c r="S94" s="23">
        <f>(G94*H94+I94*J94+K94*L94+M94*N94+O94*P94+Q94*R94)/15</f>
        <v>37</v>
      </c>
    </row>
    <row r="95" spans="1:19" ht="19.95" customHeight="1" x14ac:dyDescent="0.25">
      <c r="A95" s="49"/>
      <c r="B95" s="1" t="s">
        <v>10</v>
      </c>
      <c r="C95" s="34">
        <v>0.58499999999999996</v>
      </c>
      <c r="D95" s="35">
        <v>2.536</v>
      </c>
      <c r="E95" s="36">
        <v>1.8480000000000001</v>
      </c>
      <c r="F95" s="37">
        <v>0.45600000000000002</v>
      </c>
      <c r="G95" s="24">
        <v>75</v>
      </c>
      <c r="H95" s="55">
        <v>3</v>
      </c>
      <c r="I95" s="25">
        <v>35</v>
      </c>
      <c r="J95" s="58">
        <v>2</v>
      </c>
      <c r="K95" s="15">
        <v>50</v>
      </c>
      <c r="L95" s="52">
        <v>3</v>
      </c>
      <c r="M95" s="6">
        <v>40</v>
      </c>
      <c r="N95" s="55">
        <v>1</v>
      </c>
      <c r="O95" s="25">
        <v>55</v>
      </c>
      <c r="P95" s="58">
        <v>3</v>
      </c>
      <c r="Q95" s="15">
        <v>60</v>
      </c>
      <c r="R95" s="52">
        <v>3</v>
      </c>
      <c r="S95" s="23">
        <f>(G95*H94+I95*J94+K95*L94+M95*N94+O95*P94+Q95*R94)/15</f>
        <v>53.333333333333336</v>
      </c>
    </row>
    <row r="96" spans="1:19" ht="19.95" customHeight="1" x14ac:dyDescent="0.25">
      <c r="A96" s="49"/>
      <c r="B96" s="1" t="s">
        <v>11</v>
      </c>
      <c r="C96" s="34">
        <v>0.65200000000000002</v>
      </c>
      <c r="D96" s="35">
        <v>2.9220000000000002</v>
      </c>
      <c r="E96" s="36">
        <v>2.1949999999999998</v>
      </c>
      <c r="F96" s="37">
        <v>0.51200000000000001</v>
      </c>
      <c r="G96" s="24">
        <v>75</v>
      </c>
      <c r="H96" s="55">
        <v>3</v>
      </c>
      <c r="I96" s="25">
        <v>45</v>
      </c>
      <c r="J96" s="58">
        <v>3</v>
      </c>
      <c r="K96" s="15">
        <v>65</v>
      </c>
      <c r="L96" s="52">
        <v>2</v>
      </c>
      <c r="M96" s="6">
        <v>55</v>
      </c>
      <c r="N96" s="55">
        <v>1</v>
      </c>
      <c r="O96" s="25">
        <v>70</v>
      </c>
      <c r="P96" s="58">
        <v>4</v>
      </c>
      <c r="Q96" s="15">
        <v>75</v>
      </c>
      <c r="R96" s="52">
        <v>2</v>
      </c>
      <c r="S96" s="23">
        <f>(G96*H94+I96*J94+K96*L94+M96*N94+O96*P94+Q96*R94)/15</f>
        <v>64.333333333333329</v>
      </c>
    </row>
    <row r="97" spans="1:19" ht="19.95" customHeight="1" x14ac:dyDescent="0.25">
      <c r="A97" s="50"/>
      <c r="B97" s="11" t="s">
        <v>12</v>
      </c>
      <c r="C97" s="38">
        <v>0.72099999999999997</v>
      </c>
      <c r="D97" s="39">
        <v>3.262</v>
      </c>
      <c r="E97" s="40">
        <v>2.7909999999999999</v>
      </c>
      <c r="F97" s="41">
        <v>0.56299999999999994</v>
      </c>
      <c r="G97" s="30">
        <v>90</v>
      </c>
      <c r="H97" s="56">
        <v>4</v>
      </c>
      <c r="I97" s="31">
        <v>55</v>
      </c>
      <c r="J97" s="59">
        <v>1</v>
      </c>
      <c r="K97" s="32">
        <v>80</v>
      </c>
      <c r="L97" s="53">
        <v>1</v>
      </c>
      <c r="M97" s="33">
        <v>70</v>
      </c>
      <c r="N97" s="56">
        <v>2</v>
      </c>
      <c r="O97" s="31">
        <v>85</v>
      </c>
      <c r="P97" s="59">
        <v>5</v>
      </c>
      <c r="Q97" s="32">
        <v>90</v>
      </c>
      <c r="R97" s="53">
        <v>2</v>
      </c>
      <c r="S97" s="23">
        <f>(G97*H94+I97*J94+K97*L94+M97*N94+O97*P94+Q97*R94)/15</f>
        <v>78.333333333333329</v>
      </c>
    </row>
    <row r="98" spans="1:19" ht="19.95" customHeight="1" x14ac:dyDescent="0.25">
      <c r="A98" s="48">
        <v>25</v>
      </c>
      <c r="B98" s="4" t="s">
        <v>9</v>
      </c>
      <c r="C98" s="34">
        <v>0.52800000000000002</v>
      </c>
      <c r="D98" s="35">
        <v>2.073</v>
      </c>
      <c r="E98" s="36">
        <v>1.647</v>
      </c>
      <c r="F98" s="37">
        <v>0.39700000000000002</v>
      </c>
      <c r="G98" s="12">
        <v>45</v>
      </c>
      <c r="H98" s="54">
        <v>3</v>
      </c>
      <c r="I98" s="13">
        <v>30</v>
      </c>
      <c r="J98" s="57">
        <v>2</v>
      </c>
      <c r="K98" s="14">
        <v>35</v>
      </c>
      <c r="L98" s="51">
        <v>3</v>
      </c>
      <c r="M98" s="5">
        <v>25</v>
      </c>
      <c r="N98" s="54">
        <v>1</v>
      </c>
      <c r="O98" s="13">
        <v>40</v>
      </c>
      <c r="P98" s="57">
        <v>3</v>
      </c>
      <c r="Q98" s="14">
        <v>45</v>
      </c>
      <c r="R98" s="51">
        <v>3</v>
      </c>
      <c r="S98" s="23">
        <f>(G98*H98+I98*J98+K98*L98+M98*N98+O98*P98+Q98*R98)/15</f>
        <v>38.666666666666664</v>
      </c>
    </row>
    <row r="99" spans="1:19" ht="19.95" customHeight="1" x14ac:dyDescent="0.25">
      <c r="A99" s="49"/>
      <c r="B99" s="1" t="s">
        <v>10</v>
      </c>
      <c r="C99" s="34">
        <v>0.61699999999999999</v>
      </c>
      <c r="D99" s="35">
        <v>2.4</v>
      </c>
      <c r="E99" s="36">
        <v>1.9079999999999999</v>
      </c>
      <c r="F99" s="37">
        <v>0.45600000000000002</v>
      </c>
      <c r="G99" s="24">
        <v>60</v>
      </c>
      <c r="H99" s="55">
        <v>4</v>
      </c>
      <c r="I99" s="25">
        <v>40</v>
      </c>
      <c r="J99" s="58">
        <v>1</v>
      </c>
      <c r="K99" s="15">
        <v>50</v>
      </c>
      <c r="L99" s="52">
        <v>2</v>
      </c>
      <c r="M99" s="6">
        <v>35</v>
      </c>
      <c r="N99" s="55">
        <v>3</v>
      </c>
      <c r="O99" s="25">
        <v>55</v>
      </c>
      <c r="P99" s="58">
        <v>3</v>
      </c>
      <c r="Q99" s="15">
        <v>60</v>
      </c>
      <c r="R99" s="52">
        <v>2</v>
      </c>
      <c r="S99" s="23">
        <f>(G99*H98+I99*J98+K99*L98+M99*N98+O99*P98+Q99*R98)/15</f>
        <v>52.666666666666664</v>
      </c>
    </row>
    <row r="100" spans="1:19" ht="19.95" customHeight="1" x14ac:dyDescent="0.25">
      <c r="A100" s="49"/>
      <c r="B100" s="1" t="s">
        <v>11</v>
      </c>
      <c r="C100" s="34">
        <v>0.69199999999999995</v>
      </c>
      <c r="D100" s="35">
        <v>2.7309999999999999</v>
      </c>
      <c r="E100" s="36">
        <v>2.2189999999999999</v>
      </c>
      <c r="F100" s="37">
        <v>0.51600000000000001</v>
      </c>
      <c r="G100" s="24">
        <v>75</v>
      </c>
      <c r="H100" s="55">
        <v>3</v>
      </c>
      <c r="I100" s="25">
        <v>50</v>
      </c>
      <c r="J100" s="58">
        <v>1</v>
      </c>
      <c r="K100" s="15">
        <v>65</v>
      </c>
      <c r="L100" s="52">
        <v>1</v>
      </c>
      <c r="M100" s="6">
        <v>50</v>
      </c>
      <c r="N100" s="55">
        <v>2</v>
      </c>
      <c r="O100" s="25">
        <v>70</v>
      </c>
      <c r="P100" s="58">
        <v>5</v>
      </c>
      <c r="Q100" s="15">
        <v>75</v>
      </c>
      <c r="R100" s="52">
        <v>3</v>
      </c>
      <c r="S100" s="23">
        <f>(G100*H98+I100*J98+K100*L98+M100*N98+O100*P98+Q100*R98)/15</f>
        <v>67</v>
      </c>
    </row>
    <row r="101" spans="1:19" ht="19.95" customHeight="1" x14ac:dyDescent="0.25">
      <c r="A101" s="50"/>
      <c r="B101" s="11" t="s">
        <v>12</v>
      </c>
      <c r="C101" s="38">
        <v>0.754</v>
      </c>
      <c r="D101" s="39">
        <v>3.089</v>
      </c>
      <c r="E101" s="40">
        <v>2.67</v>
      </c>
      <c r="F101" s="41">
        <v>0.56999999999999995</v>
      </c>
      <c r="G101" s="30">
        <v>90</v>
      </c>
      <c r="H101" s="56">
        <v>4</v>
      </c>
      <c r="I101" s="31">
        <v>60</v>
      </c>
      <c r="J101" s="59">
        <v>2</v>
      </c>
      <c r="K101" s="32">
        <v>80</v>
      </c>
      <c r="L101" s="53">
        <v>1</v>
      </c>
      <c r="M101" s="33">
        <v>65</v>
      </c>
      <c r="N101" s="56">
        <v>1</v>
      </c>
      <c r="O101" s="31">
        <v>85</v>
      </c>
      <c r="P101" s="59">
        <v>4</v>
      </c>
      <c r="Q101" s="32">
        <v>90</v>
      </c>
      <c r="R101" s="53">
        <v>3</v>
      </c>
      <c r="S101" s="23">
        <f t="shared" ref="S101:S105" si="4">(G101*H98+I101*J98+K101*L98+M101*N98+O101*P98+Q101*R98)/15</f>
        <v>81.333333333333329</v>
      </c>
    </row>
    <row r="102" spans="1:19" ht="19.95" customHeight="1" x14ac:dyDescent="0.25">
      <c r="A102" s="48">
        <v>26</v>
      </c>
      <c r="B102" s="4" t="s">
        <v>9</v>
      </c>
      <c r="C102" s="34">
        <v>0.49</v>
      </c>
      <c r="D102" s="35">
        <v>2.2349999999999999</v>
      </c>
      <c r="E102" s="36">
        <v>1.6040000000000001</v>
      </c>
      <c r="F102" s="37">
        <v>0.41899999999999998</v>
      </c>
      <c r="G102" s="12">
        <v>40</v>
      </c>
      <c r="H102" s="54">
        <v>3</v>
      </c>
      <c r="I102" s="13">
        <v>25</v>
      </c>
      <c r="J102" s="57">
        <v>1</v>
      </c>
      <c r="K102" s="14">
        <v>35</v>
      </c>
      <c r="L102" s="51">
        <v>2</v>
      </c>
      <c r="M102" s="5">
        <v>25</v>
      </c>
      <c r="N102" s="54">
        <v>1</v>
      </c>
      <c r="O102" s="13">
        <v>40</v>
      </c>
      <c r="P102" s="57">
        <v>4</v>
      </c>
      <c r="Q102" s="14">
        <v>40</v>
      </c>
      <c r="R102" s="51">
        <v>4</v>
      </c>
      <c r="S102" s="23">
        <f>(G102*H102+I102*J102+K102*L102+M102*N102+O102*P102+Q102*R102)/15</f>
        <v>37.333333333333336</v>
      </c>
    </row>
    <row r="103" spans="1:19" ht="19.95" customHeight="1" x14ac:dyDescent="0.25">
      <c r="A103" s="49"/>
      <c r="B103" s="1" t="s">
        <v>10</v>
      </c>
      <c r="C103" s="34">
        <v>0.57499999999999996</v>
      </c>
      <c r="D103" s="35">
        <v>2.6019999999999999</v>
      </c>
      <c r="E103" s="36">
        <v>1.89</v>
      </c>
      <c r="F103" s="37">
        <v>0.47</v>
      </c>
      <c r="G103" s="24">
        <v>55</v>
      </c>
      <c r="H103" s="55">
        <v>4</v>
      </c>
      <c r="I103" s="25">
        <v>35</v>
      </c>
      <c r="J103" s="58">
        <v>1</v>
      </c>
      <c r="K103" s="15">
        <v>50</v>
      </c>
      <c r="L103" s="52">
        <v>3</v>
      </c>
      <c r="M103" s="6">
        <v>35</v>
      </c>
      <c r="N103" s="55">
        <v>2</v>
      </c>
      <c r="O103" s="25">
        <v>55</v>
      </c>
      <c r="P103" s="58">
        <v>3</v>
      </c>
      <c r="Q103" s="15">
        <v>70</v>
      </c>
      <c r="R103" s="52">
        <v>2</v>
      </c>
      <c r="S103" s="23">
        <f>(G103*H102+I103*J102+K103*L102+M103*N102+O103*P102+Q103*R102)/15</f>
        <v>55.666666666666664</v>
      </c>
    </row>
    <row r="104" spans="1:19" ht="19.95" customHeight="1" x14ac:dyDescent="0.25">
      <c r="A104" s="49"/>
      <c r="B104" s="1" t="s">
        <v>11</v>
      </c>
      <c r="C104" s="34">
        <v>0.64800000000000002</v>
      </c>
      <c r="D104" s="35">
        <v>2.9350000000000001</v>
      </c>
      <c r="E104" s="36">
        <v>2.1709999999999998</v>
      </c>
      <c r="F104" s="37">
        <v>0.53700000000000003</v>
      </c>
      <c r="G104" s="24">
        <v>70</v>
      </c>
      <c r="H104" s="55">
        <v>3</v>
      </c>
      <c r="I104" s="25">
        <v>45</v>
      </c>
      <c r="J104" s="58">
        <v>2</v>
      </c>
      <c r="K104" s="15">
        <v>65</v>
      </c>
      <c r="L104" s="52">
        <v>1</v>
      </c>
      <c r="M104" s="6">
        <v>50</v>
      </c>
      <c r="N104" s="55">
        <v>2</v>
      </c>
      <c r="O104" s="25">
        <v>70</v>
      </c>
      <c r="P104" s="58">
        <v>4</v>
      </c>
      <c r="Q104" s="15">
        <v>70</v>
      </c>
      <c r="R104" s="52">
        <v>3</v>
      </c>
      <c r="S104" s="23">
        <f>(G104*H102+I104*J102+K104*L102+M104*N102+O104*P102+Q104*R102)/15</f>
        <v>66.333333333333329</v>
      </c>
    </row>
    <row r="105" spans="1:19" ht="19.95" customHeight="1" x14ac:dyDescent="0.25">
      <c r="A105" s="50"/>
      <c r="B105" s="11" t="s">
        <v>12</v>
      </c>
      <c r="C105" s="38">
        <v>0.72</v>
      </c>
      <c r="D105" s="39">
        <v>3.2650000000000001</v>
      </c>
      <c r="E105" s="40">
        <v>2.633</v>
      </c>
      <c r="F105" s="41">
        <v>0.58499999999999996</v>
      </c>
      <c r="G105" s="30">
        <v>85</v>
      </c>
      <c r="H105" s="56">
        <v>4</v>
      </c>
      <c r="I105" s="31">
        <v>55</v>
      </c>
      <c r="J105" s="59">
        <v>1</v>
      </c>
      <c r="K105" s="32">
        <v>80</v>
      </c>
      <c r="L105" s="53">
        <v>2</v>
      </c>
      <c r="M105" s="33">
        <v>65</v>
      </c>
      <c r="N105" s="56">
        <v>1</v>
      </c>
      <c r="O105" s="31">
        <v>85</v>
      </c>
      <c r="P105" s="59">
        <v>3</v>
      </c>
      <c r="Q105" s="32">
        <v>60</v>
      </c>
      <c r="R105" s="53">
        <v>4</v>
      </c>
      <c r="S105" s="23">
        <f t="shared" si="4"/>
        <v>74.333333333333329</v>
      </c>
    </row>
    <row r="106" spans="1:19" ht="19.95" customHeight="1" x14ac:dyDescent="0.25">
      <c r="A106" s="48">
        <v>27</v>
      </c>
      <c r="B106" s="4" t="s">
        <v>9</v>
      </c>
      <c r="C106" s="34">
        <v>0.50600000000000001</v>
      </c>
      <c r="D106" s="35">
        <v>2.109</v>
      </c>
      <c r="E106" s="36">
        <v>1.5629999999999999</v>
      </c>
      <c r="F106" s="37">
        <v>0.40699999999999997</v>
      </c>
      <c r="G106" s="12">
        <v>45</v>
      </c>
      <c r="H106" s="54">
        <v>3</v>
      </c>
      <c r="I106" s="13">
        <v>25</v>
      </c>
      <c r="J106" s="57">
        <v>1</v>
      </c>
      <c r="K106" s="14">
        <v>35</v>
      </c>
      <c r="L106" s="51">
        <v>1</v>
      </c>
      <c r="M106" s="5">
        <v>30</v>
      </c>
      <c r="N106" s="54">
        <v>2</v>
      </c>
      <c r="O106" s="13">
        <v>40</v>
      </c>
      <c r="P106" s="57">
        <v>5</v>
      </c>
      <c r="Q106" s="14">
        <v>40</v>
      </c>
      <c r="R106" s="51">
        <v>3</v>
      </c>
      <c r="S106" s="23">
        <f>(G106*H106+I106*J106+K106*L106+M106*N106+O106*P106+Q106*R106)/15</f>
        <v>38.333333333333336</v>
      </c>
    </row>
    <row r="107" spans="1:19" ht="19.95" customHeight="1" x14ac:dyDescent="0.25">
      <c r="A107" s="49"/>
      <c r="B107" s="1" t="s">
        <v>10</v>
      </c>
      <c r="C107" s="34">
        <v>0.59499999999999997</v>
      </c>
      <c r="D107" s="35">
        <v>2.4769999999999999</v>
      </c>
      <c r="E107" s="36">
        <v>1.903</v>
      </c>
      <c r="F107" s="37">
        <v>0.46899999999999997</v>
      </c>
      <c r="G107" s="24">
        <v>60</v>
      </c>
      <c r="H107" s="55">
        <v>4</v>
      </c>
      <c r="I107" s="25">
        <v>35</v>
      </c>
      <c r="J107" s="58">
        <v>2</v>
      </c>
      <c r="K107" s="15">
        <v>50</v>
      </c>
      <c r="L107" s="52">
        <v>1</v>
      </c>
      <c r="M107" s="6">
        <v>40</v>
      </c>
      <c r="N107" s="55">
        <v>1</v>
      </c>
      <c r="O107" s="25">
        <v>55</v>
      </c>
      <c r="P107" s="58">
        <v>4</v>
      </c>
      <c r="Q107" s="15">
        <v>55</v>
      </c>
      <c r="R107" s="52">
        <v>3</v>
      </c>
      <c r="S107" s="23">
        <f>(G107*H106+I107*J106+K107*L106+M107*N106+O107*P106+Q107*R106)/15</f>
        <v>52.333333333333336</v>
      </c>
    </row>
    <row r="108" spans="1:19" ht="19.95" customHeight="1" x14ac:dyDescent="0.25">
      <c r="A108" s="49"/>
      <c r="B108" s="1" t="s">
        <v>11</v>
      </c>
      <c r="C108" s="34">
        <v>0.66100000000000003</v>
      </c>
      <c r="D108" s="35">
        <v>2.8319999999999999</v>
      </c>
      <c r="E108" s="36">
        <v>2.153</v>
      </c>
      <c r="F108" s="37">
        <v>0.52500000000000002</v>
      </c>
      <c r="G108" s="24">
        <v>75</v>
      </c>
      <c r="H108" s="55">
        <v>3</v>
      </c>
      <c r="I108" s="25">
        <v>45</v>
      </c>
      <c r="J108" s="58">
        <v>1</v>
      </c>
      <c r="K108" s="15">
        <v>65</v>
      </c>
      <c r="L108" s="52">
        <v>2</v>
      </c>
      <c r="M108" s="6">
        <v>55</v>
      </c>
      <c r="N108" s="55">
        <v>1</v>
      </c>
      <c r="O108" s="25">
        <v>70</v>
      </c>
      <c r="P108" s="58">
        <v>5</v>
      </c>
      <c r="Q108" s="15">
        <v>70</v>
      </c>
      <c r="R108" s="52">
        <v>3</v>
      </c>
      <c r="S108" s="23">
        <f>(G108*H106+I108*J106+K108*L106+M108*N106+O108*P106+Q108*R106)/15</f>
        <v>67</v>
      </c>
    </row>
    <row r="109" spans="1:19" ht="19.95" customHeight="1" x14ac:dyDescent="0.25">
      <c r="A109" s="50"/>
      <c r="B109" s="11" t="s">
        <v>12</v>
      </c>
      <c r="C109" s="38">
        <v>0.72399999999999998</v>
      </c>
      <c r="D109" s="39">
        <v>3.19</v>
      </c>
      <c r="E109" s="40">
        <v>2.6840000000000002</v>
      </c>
      <c r="F109" s="41">
        <v>0.57399999999999995</v>
      </c>
      <c r="G109" s="30">
        <v>90</v>
      </c>
      <c r="H109" s="56">
        <v>4</v>
      </c>
      <c r="I109" s="31">
        <v>55</v>
      </c>
      <c r="J109" s="59">
        <v>1</v>
      </c>
      <c r="K109" s="32">
        <v>80</v>
      </c>
      <c r="L109" s="53">
        <v>1</v>
      </c>
      <c r="M109" s="33">
        <v>70</v>
      </c>
      <c r="N109" s="56">
        <v>2</v>
      </c>
      <c r="O109" s="31">
        <v>85</v>
      </c>
      <c r="P109" s="59">
        <v>5</v>
      </c>
      <c r="Q109" s="32">
        <v>85</v>
      </c>
      <c r="R109" s="53">
        <v>2</v>
      </c>
      <c r="S109" s="23">
        <f>(G109*H106+I109*J106+K109*L106+M109*N106+O109*P106+Q109*R106)/15</f>
        <v>81.666666666666671</v>
      </c>
    </row>
    <row r="110" spans="1:19" ht="19.95" customHeight="1" x14ac:dyDescent="0.25">
      <c r="A110" s="48" t="s">
        <v>22</v>
      </c>
      <c r="B110" s="4" t="s">
        <v>9</v>
      </c>
      <c r="C110" s="46">
        <f>SUM(C2+C6+C10+C14+C18+C22+C26+C30+C34+C38+C42+C46+C50+C54+C58+C62+C66+C70+C74+C78+C82+C86+C90+C94+C98+C102+C106)/27</f>
        <v>0.50777777777777777</v>
      </c>
      <c r="D110" s="46">
        <f t="shared" ref="D110:S110" si="5">SUM(D2+D6+D10+D14+D18+D22+D26+D30+D34+D38+D42+D46+D50+D54+D58+D62+D66+D70+D74+D78+D82+D86+D90+D94+D98+D102+D106)/27</f>
        <v>2.1560740740740743</v>
      </c>
      <c r="E110" s="46">
        <f t="shared" si="5"/>
        <v>1.5949259259259263</v>
      </c>
      <c r="F110" s="46">
        <f t="shared" si="5"/>
        <v>0.4124814814814815</v>
      </c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>
        <f t="shared" si="5"/>
        <v>38.666666666666657</v>
      </c>
    </row>
    <row r="111" spans="1:19" ht="19.95" customHeight="1" x14ac:dyDescent="0.25">
      <c r="A111" s="49"/>
      <c r="B111" s="1" t="s">
        <v>10</v>
      </c>
      <c r="C111" s="46">
        <f t="shared" ref="C111:F113" si="6">SUM(C3+C7+C11+C15+C19+C23+C27+C31+C35+C39+C43+C47+C51+C55+C59+C63+C67+C71+C75+C79+C83+C87+C91+C95+C99+C103+C107)/27</f>
        <v>0.58844444444444444</v>
      </c>
      <c r="D111" s="46">
        <f t="shared" si="6"/>
        <v>2.5136666666666665</v>
      </c>
      <c r="E111" s="46">
        <f t="shared" si="6"/>
        <v>1.8994814814814813</v>
      </c>
      <c r="F111" s="46">
        <f t="shared" si="6"/>
        <v>0.47255555555555551</v>
      </c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>
        <f t="shared" ref="S111" si="7">SUM(S3+S7+S11+S15+S19+S23+S27+S31+S35+S39+S43+S47+S51+S55+S59+S63+S67+S71+S75+S79+S83+S87+S91+S95+S99+S103+S107)/27</f>
        <v>53.111111111111121</v>
      </c>
    </row>
    <row r="112" spans="1:19" ht="19.95" customHeight="1" x14ac:dyDescent="0.25">
      <c r="A112" s="49"/>
      <c r="B112" s="1" t="s">
        <v>11</v>
      </c>
      <c r="C112" s="46">
        <f t="shared" si="6"/>
        <v>0.65933333333333333</v>
      </c>
      <c r="D112" s="46">
        <f t="shared" si="6"/>
        <v>2.8574444444444436</v>
      </c>
      <c r="E112" s="46">
        <f t="shared" si="6"/>
        <v>2.196333333333333</v>
      </c>
      <c r="F112" s="46">
        <f t="shared" si="6"/>
        <v>0.5307037037037039</v>
      </c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>
        <f t="shared" ref="S112" si="8">SUM(S4+S8+S12+S16+S20+S24+S28+S32+S36+S40+S44+S48+S52+S56+S60+S64+S68+S72+S76+S80+S84+S88+S92+S96+S100+S104+S108)/27</f>
        <v>67.209876543209873</v>
      </c>
    </row>
    <row r="113" spans="1:19" ht="19.95" customHeight="1" x14ac:dyDescent="0.25">
      <c r="A113" s="50"/>
      <c r="B113" s="11" t="s">
        <v>12</v>
      </c>
      <c r="C113" s="47">
        <f t="shared" si="6"/>
        <v>0.72485185185185186</v>
      </c>
      <c r="D113" s="47">
        <f t="shared" si="6"/>
        <v>3.203259259259259</v>
      </c>
      <c r="E113" s="47">
        <f t="shared" si="6"/>
        <v>2.7008148148148146</v>
      </c>
      <c r="F113" s="47">
        <f t="shared" si="6"/>
        <v>0.58059259259259255</v>
      </c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>
        <f t="shared" ref="S113" si="9">SUM(S5+S9+S13+S17+S21+S25+S29+S33+S37+S41+S45+S49+S53+S57+S61+S65+S69+S73+S77+S81+S85+S89+S93+S97+S101+S105+S109)/27</f>
        <v>81.135802469135797</v>
      </c>
    </row>
    <row r="114" spans="1:19" ht="19.95" customHeight="1" x14ac:dyDescent="0.25">
      <c r="C114" s="2"/>
      <c r="D114" s="2"/>
      <c r="E114" s="2"/>
      <c r="F114" s="2"/>
    </row>
    <row r="115" spans="1:19" ht="19.95" customHeight="1" x14ac:dyDescent="0.25">
      <c r="C115" s="2"/>
      <c r="D115" s="2"/>
      <c r="E115" s="2"/>
      <c r="F115" s="2"/>
    </row>
    <row r="116" spans="1:19" ht="19.95" customHeight="1" x14ac:dyDescent="0.25">
      <c r="C116" s="2"/>
      <c r="D116" s="2"/>
      <c r="E116" s="2"/>
      <c r="F116" s="2"/>
    </row>
    <row r="117" spans="1:19" ht="19.95" customHeight="1" x14ac:dyDescent="0.25">
      <c r="C117" s="2"/>
      <c r="D117" s="2"/>
      <c r="E117" s="2"/>
      <c r="F117" s="2"/>
    </row>
    <row r="118" spans="1:19" ht="19.95" customHeight="1" x14ac:dyDescent="0.25">
      <c r="C118" s="2"/>
      <c r="D118" s="2"/>
      <c r="E118" s="2"/>
      <c r="F118" s="2"/>
    </row>
    <row r="119" spans="1:19" ht="19.95" customHeight="1" x14ac:dyDescent="0.25">
      <c r="C119" s="2"/>
      <c r="D119" s="2"/>
      <c r="E119" s="2"/>
      <c r="F119" s="2"/>
    </row>
    <row r="120" spans="1:19" ht="19.95" customHeight="1" x14ac:dyDescent="0.25">
      <c r="C120" s="2"/>
      <c r="D120" s="2"/>
      <c r="E120" s="2"/>
      <c r="F120" s="2"/>
    </row>
    <row r="121" spans="1:19" ht="19.95" customHeight="1" x14ac:dyDescent="0.25">
      <c r="C121" s="2"/>
      <c r="D121" s="2"/>
      <c r="E121" s="2"/>
      <c r="F121" s="2"/>
    </row>
    <row r="122" spans="1:19" ht="19.95" customHeight="1" x14ac:dyDescent="0.25">
      <c r="C122" s="2"/>
      <c r="D122" s="2"/>
      <c r="E122" s="2"/>
      <c r="F122" s="2"/>
    </row>
    <row r="123" spans="1:19" ht="19.95" customHeight="1" x14ac:dyDescent="0.25">
      <c r="C123" s="2"/>
      <c r="D123" s="2"/>
      <c r="E123" s="2"/>
      <c r="F123" s="2"/>
    </row>
    <row r="124" spans="1:19" ht="19.95" customHeight="1" x14ac:dyDescent="0.25">
      <c r="C124" s="2"/>
      <c r="D124" s="2"/>
      <c r="E124" s="2"/>
      <c r="F124" s="2"/>
    </row>
    <row r="125" spans="1:19" ht="19.95" customHeight="1" x14ac:dyDescent="0.25">
      <c r="C125" s="2"/>
      <c r="D125" s="2"/>
      <c r="E125" s="2"/>
      <c r="F125" s="2"/>
    </row>
    <row r="126" spans="1:19" ht="19.95" customHeight="1" x14ac:dyDescent="0.25">
      <c r="C126" s="2"/>
      <c r="D126" s="2"/>
      <c r="E126" s="2"/>
      <c r="F126" s="2"/>
    </row>
    <row r="127" spans="1:19" ht="19.95" customHeight="1" x14ac:dyDescent="0.25">
      <c r="C127" s="2"/>
      <c r="D127" s="2"/>
      <c r="E127" s="2"/>
      <c r="F127" s="2"/>
    </row>
    <row r="128" spans="1:19" ht="19.95" customHeight="1" x14ac:dyDescent="0.25">
      <c r="C128" s="2"/>
      <c r="D128" s="2"/>
      <c r="E128" s="2"/>
      <c r="F128" s="2"/>
    </row>
    <row r="129" spans="3:6" ht="19.95" customHeight="1" x14ac:dyDescent="0.25">
      <c r="C129" s="2"/>
      <c r="D129" s="2"/>
      <c r="E129" s="2"/>
      <c r="F129" s="2"/>
    </row>
    <row r="130" spans="3:6" ht="19.95" customHeight="1" x14ac:dyDescent="0.25">
      <c r="C130" s="2"/>
      <c r="D130" s="2"/>
      <c r="E130" s="2"/>
      <c r="F130" s="2"/>
    </row>
    <row r="131" spans="3:6" ht="19.95" customHeight="1" x14ac:dyDescent="0.25">
      <c r="C131" s="2"/>
      <c r="D131" s="2"/>
      <c r="E131" s="2"/>
      <c r="F131" s="2"/>
    </row>
    <row r="132" spans="3:6" ht="19.95" customHeight="1" x14ac:dyDescent="0.25">
      <c r="C132" s="2"/>
      <c r="D132" s="2"/>
      <c r="E132" s="2"/>
      <c r="F132" s="2"/>
    </row>
    <row r="133" spans="3:6" ht="19.95" customHeight="1" x14ac:dyDescent="0.25">
      <c r="C133" s="2"/>
      <c r="D133" s="2"/>
      <c r="E133" s="2"/>
      <c r="F133" s="2"/>
    </row>
    <row r="134" spans="3:6" ht="19.95" customHeight="1" x14ac:dyDescent="0.25">
      <c r="C134" s="2"/>
      <c r="D134" s="2"/>
      <c r="E134" s="2"/>
      <c r="F134" s="2"/>
    </row>
    <row r="135" spans="3:6" ht="19.95" customHeight="1" x14ac:dyDescent="0.25">
      <c r="C135" s="2"/>
      <c r="D135" s="2"/>
      <c r="E135" s="2"/>
      <c r="F135" s="2"/>
    </row>
    <row r="136" spans="3:6" ht="19.95" customHeight="1" x14ac:dyDescent="0.25">
      <c r="C136" s="2"/>
      <c r="D136" s="2"/>
      <c r="E136" s="2"/>
      <c r="F136" s="2"/>
    </row>
    <row r="137" spans="3:6" ht="19.95" customHeight="1" x14ac:dyDescent="0.25">
      <c r="C137" s="2"/>
      <c r="D137" s="2"/>
      <c r="E137" s="2"/>
      <c r="F137" s="2"/>
    </row>
    <row r="138" spans="3:6" ht="19.95" customHeight="1" x14ac:dyDescent="0.25">
      <c r="C138" s="2"/>
      <c r="D138" s="2"/>
      <c r="E138" s="2"/>
      <c r="F138" s="2"/>
    </row>
    <row r="139" spans="3:6" ht="19.95" customHeight="1" x14ac:dyDescent="0.25">
      <c r="C139" s="2"/>
      <c r="D139" s="2"/>
      <c r="E139" s="2"/>
      <c r="F139" s="2"/>
    </row>
    <row r="140" spans="3:6" ht="19.95" customHeight="1" x14ac:dyDescent="0.25">
      <c r="C140" s="2"/>
      <c r="D140" s="2"/>
      <c r="E140" s="2"/>
      <c r="F140" s="2"/>
    </row>
    <row r="141" spans="3:6" ht="19.95" customHeight="1" x14ac:dyDescent="0.25">
      <c r="C141" s="2"/>
      <c r="D141" s="2"/>
      <c r="E141" s="2"/>
      <c r="F141" s="2"/>
    </row>
    <row r="142" spans="3:6" ht="19.95" customHeight="1" x14ac:dyDescent="0.25">
      <c r="C142" s="2"/>
      <c r="D142" s="2"/>
      <c r="E142" s="2"/>
      <c r="F142" s="2"/>
    </row>
    <row r="143" spans="3:6" ht="19.95" customHeight="1" x14ac:dyDescent="0.25">
      <c r="C143" s="2"/>
      <c r="D143" s="2"/>
      <c r="E143" s="2"/>
      <c r="F143" s="2"/>
    </row>
    <row r="144" spans="3:6" ht="19.95" customHeight="1" x14ac:dyDescent="0.25">
      <c r="C144" s="2"/>
      <c r="D144" s="2"/>
      <c r="E144" s="2"/>
      <c r="F144" s="2"/>
    </row>
    <row r="145" spans="3:6" ht="19.95" customHeight="1" x14ac:dyDescent="0.25">
      <c r="C145" s="2"/>
      <c r="D145" s="2"/>
      <c r="E145" s="2"/>
      <c r="F145" s="2"/>
    </row>
    <row r="146" spans="3:6" ht="19.95" customHeight="1" x14ac:dyDescent="0.25">
      <c r="C146" s="2"/>
      <c r="D146" s="2"/>
      <c r="E146" s="2"/>
      <c r="F146" s="2"/>
    </row>
    <row r="147" spans="3:6" ht="19.95" customHeight="1" x14ac:dyDescent="0.25">
      <c r="C147" s="2"/>
      <c r="D147" s="2"/>
      <c r="E147" s="2"/>
      <c r="F147" s="2"/>
    </row>
    <row r="148" spans="3:6" ht="19.95" customHeight="1" x14ac:dyDescent="0.25">
      <c r="C148" s="2"/>
      <c r="D148" s="2"/>
      <c r="E148" s="2"/>
      <c r="F148" s="2"/>
    </row>
    <row r="149" spans="3:6" ht="19.95" customHeight="1" x14ac:dyDescent="0.25">
      <c r="C149" s="2"/>
      <c r="D149" s="2"/>
      <c r="E149" s="2"/>
      <c r="F149" s="2"/>
    </row>
    <row r="150" spans="3:6" ht="19.95" customHeight="1" x14ac:dyDescent="0.25">
      <c r="C150" s="2"/>
      <c r="D150" s="2"/>
      <c r="E150" s="2"/>
      <c r="F150" s="2"/>
    </row>
    <row r="151" spans="3:6" ht="19.95" customHeight="1" x14ac:dyDescent="0.25">
      <c r="C151" s="2"/>
      <c r="D151" s="2"/>
      <c r="E151" s="2"/>
      <c r="F151" s="2"/>
    </row>
    <row r="152" spans="3:6" ht="19.95" customHeight="1" x14ac:dyDescent="0.25">
      <c r="C152" s="2"/>
      <c r="D152" s="2"/>
      <c r="E152" s="2"/>
      <c r="F152" s="2"/>
    </row>
    <row r="153" spans="3:6" ht="19.95" customHeight="1" x14ac:dyDescent="0.25">
      <c r="C153" s="2"/>
      <c r="D153" s="2"/>
      <c r="E153" s="2"/>
      <c r="F153" s="2"/>
    </row>
    <row r="154" spans="3:6" ht="19.95" customHeight="1" x14ac:dyDescent="0.25">
      <c r="C154" s="2"/>
      <c r="D154" s="2"/>
      <c r="E154" s="2"/>
      <c r="F154" s="2"/>
    </row>
    <row r="155" spans="3:6" ht="19.95" customHeight="1" x14ac:dyDescent="0.25">
      <c r="C155" s="2"/>
      <c r="D155" s="2"/>
      <c r="E155" s="2"/>
      <c r="F155" s="2"/>
    </row>
    <row r="156" spans="3:6" ht="19.95" customHeight="1" x14ac:dyDescent="0.25">
      <c r="C156" s="2"/>
      <c r="D156" s="2"/>
      <c r="E156" s="2"/>
      <c r="F156" s="2"/>
    </row>
    <row r="157" spans="3:6" ht="19.95" customHeight="1" x14ac:dyDescent="0.25">
      <c r="C157" s="2"/>
      <c r="D157" s="2"/>
      <c r="E157" s="2"/>
      <c r="F157" s="2"/>
    </row>
    <row r="158" spans="3:6" ht="19.95" customHeight="1" x14ac:dyDescent="0.25">
      <c r="C158" s="2"/>
      <c r="D158" s="2"/>
      <c r="E158" s="2"/>
      <c r="F158" s="2"/>
    </row>
    <row r="159" spans="3:6" ht="19.95" customHeight="1" x14ac:dyDescent="0.25">
      <c r="C159" s="2"/>
      <c r="D159" s="2"/>
      <c r="E159" s="2"/>
      <c r="F159" s="2"/>
    </row>
    <row r="160" spans="3:6" ht="19.95" customHeight="1" x14ac:dyDescent="0.25">
      <c r="C160" s="2"/>
      <c r="D160" s="2"/>
      <c r="E160" s="2"/>
      <c r="F160" s="2"/>
    </row>
    <row r="161" spans="3:6" ht="19.95" customHeight="1" x14ac:dyDescent="0.25">
      <c r="C161" s="2"/>
      <c r="D161" s="2"/>
      <c r="E161" s="2"/>
      <c r="F161" s="2"/>
    </row>
    <row r="162" spans="3:6" ht="19.95" customHeight="1" x14ac:dyDescent="0.25">
      <c r="C162" s="2"/>
      <c r="D162" s="2"/>
      <c r="E162" s="2"/>
      <c r="F162" s="2"/>
    </row>
    <row r="163" spans="3:6" ht="19.95" customHeight="1" x14ac:dyDescent="0.25">
      <c r="C163" s="2"/>
      <c r="D163" s="2"/>
      <c r="E163" s="2"/>
      <c r="F163" s="2"/>
    </row>
    <row r="164" spans="3:6" ht="19.95" customHeight="1" x14ac:dyDescent="0.25">
      <c r="C164" s="2"/>
      <c r="D164" s="2"/>
      <c r="E164" s="2"/>
      <c r="F164" s="2"/>
    </row>
    <row r="165" spans="3:6" ht="19.95" customHeight="1" x14ac:dyDescent="0.25">
      <c r="C165" s="2"/>
      <c r="D165" s="2"/>
      <c r="E165" s="2"/>
      <c r="F165" s="2"/>
    </row>
    <row r="166" spans="3:6" ht="19.95" customHeight="1" x14ac:dyDescent="0.25">
      <c r="C166" s="2"/>
      <c r="D166" s="2"/>
      <c r="E166" s="2"/>
      <c r="F166" s="2"/>
    </row>
    <row r="167" spans="3:6" ht="19.95" customHeight="1" x14ac:dyDescent="0.25">
      <c r="C167" s="2"/>
      <c r="D167" s="2"/>
      <c r="E167" s="2"/>
      <c r="F167" s="2"/>
    </row>
    <row r="168" spans="3:6" ht="19.95" customHeight="1" x14ac:dyDescent="0.25">
      <c r="C168" s="2"/>
      <c r="D168" s="2"/>
      <c r="E168" s="2"/>
      <c r="F168" s="2"/>
    </row>
    <row r="169" spans="3:6" ht="19.95" customHeight="1" x14ac:dyDescent="0.25">
      <c r="C169" s="2"/>
      <c r="D169" s="2"/>
      <c r="E169" s="2"/>
      <c r="F169" s="2"/>
    </row>
    <row r="170" spans="3:6" ht="19.95" customHeight="1" x14ac:dyDescent="0.25">
      <c r="C170" s="2"/>
      <c r="D170" s="2"/>
      <c r="E170" s="2"/>
      <c r="F170" s="2"/>
    </row>
    <row r="171" spans="3:6" ht="19.95" customHeight="1" x14ac:dyDescent="0.25">
      <c r="C171" s="2"/>
      <c r="D171" s="2"/>
      <c r="E171" s="2"/>
      <c r="F171" s="2"/>
    </row>
    <row r="172" spans="3:6" ht="19.95" customHeight="1" x14ac:dyDescent="0.25">
      <c r="C172" s="2"/>
      <c r="D172" s="2"/>
      <c r="E172" s="2"/>
      <c r="F172" s="2"/>
    </row>
    <row r="173" spans="3:6" ht="19.95" customHeight="1" x14ac:dyDescent="0.25">
      <c r="C173" s="2"/>
      <c r="D173" s="2"/>
      <c r="E173" s="2"/>
      <c r="F173" s="2"/>
    </row>
    <row r="174" spans="3:6" ht="19.95" customHeight="1" x14ac:dyDescent="0.25">
      <c r="C174" s="2"/>
      <c r="D174" s="2"/>
      <c r="E174" s="2"/>
      <c r="F174" s="2"/>
    </row>
    <row r="175" spans="3:6" ht="19.95" customHeight="1" x14ac:dyDescent="0.25">
      <c r="C175" s="2"/>
      <c r="D175" s="2"/>
      <c r="E175" s="2"/>
      <c r="F175" s="2"/>
    </row>
    <row r="176" spans="3:6" ht="19.95" customHeight="1" x14ac:dyDescent="0.25">
      <c r="C176" s="2"/>
      <c r="D176" s="2"/>
      <c r="E176" s="2"/>
      <c r="F176" s="2"/>
    </row>
    <row r="177" spans="3:6" ht="19.95" customHeight="1" x14ac:dyDescent="0.25">
      <c r="C177" s="2"/>
      <c r="D177" s="2"/>
      <c r="E177" s="2"/>
      <c r="F177" s="2"/>
    </row>
    <row r="178" spans="3:6" ht="19.95" customHeight="1" x14ac:dyDescent="0.25">
      <c r="C178" s="2"/>
      <c r="D178" s="2"/>
      <c r="E178" s="2"/>
      <c r="F178" s="2"/>
    </row>
    <row r="179" spans="3:6" ht="19.95" customHeight="1" x14ac:dyDescent="0.25">
      <c r="C179" s="2"/>
      <c r="D179" s="2"/>
      <c r="E179" s="2"/>
      <c r="F179" s="2"/>
    </row>
    <row r="180" spans="3:6" ht="19.95" customHeight="1" x14ac:dyDescent="0.25">
      <c r="C180" s="2"/>
      <c r="D180" s="2"/>
      <c r="E180" s="2"/>
      <c r="F180" s="2"/>
    </row>
    <row r="181" spans="3:6" ht="19.95" customHeight="1" x14ac:dyDescent="0.25">
      <c r="C181" s="2"/>
      <c r="D181" s="2"/>
      <c r="E181" s="2"/>
      <c r="F181" s="2"/>
    </row>
    <row r="182" spans="3:6" ht="19.95" customHeight="1" x14ac:dyDescent="0.25">
      <c r="C182" s="2"/>
      <c r="D182" s="2"/>
      <c r="E182" s="2"/>
      <c r="F182" s="2"/>
    </row>
    <row r="183" spans="3:6" ht="19.95" customHeight="1" x14ac:dyDescent="0.25">
      <c r="C183" s="2"/>
      <c r="D183" s="2"/>
      <c r="E183" s="2"/>
      <c r="F183" s="2"/>
    </row>
    <row r="184" spans="3:6" ht="19.95" customHeight="1" x14ac:dyDescent="0.25">
      <c r="C184" s="2"/>
      <c r="D184" s="2"/>
      <c r="E184" s="2"/>
      <c r="F184" s="2"/>
    </row>
    <row r="185" spans="3:6" ht="19.95" customHeight="1" x14ac:dyDescent="0.25">
      <c r="C185" s="2"/>
      <c r="D185" s="2"/>
      <c r="E185" s="2"/>
      <c r="F185" s="2"/>
    </row>
    <row r="186" spans="3:6" ht="19.95" customHeight="1" x14ac:dyDescent="0.25">
      <c r="C186" s="2"/>
      <c r="D186" s="2"/>
      <c r="E186" s="2"/>
      <c r="F186" s="2"/>
    </row>
    <row r="187" spans="3:6" ht="19.95" customHeight="1" x14ac:dyDescent="0.25">
      <c r="C187" s="2"/>
      <c r="D187" s="2"/>
      <c r="E187" s="2"/>
      <c r="F187" s="2"/>
    </row>
    <row r="188" spans="3:6" ht="19.95" customHeight="1" x14ac:dyDescent="0.25">
      <c r="C188" s="2"/>
      <c r="D188" s="2"/>
      <c r="E188" s="2"/>
      <c r="F188" s="2"/>
    </row>
    <row r="189" spans="3:6" ht="19.95" customHeight="1" x14ac:dyDescent="0.25">
      <c r="C189" s="2"/>
      <c r="D189" s="2"/>
      <c r="E189" s="2"/>
      <c r="F189" s="2"/>
    </row>
    <row r="190" spans="3:6" ht="19.95" customHeight="1" x14ac:dyDescent="0.25">
      <c r="C190" s="2"/>
      <c r="D190" s="2"/>
      <c r="E190" s="2"/>
      <c r="F190" s="2"/>
    </row>
    <row r="191" spans="3:6" ht="19.95" customHeight="1" x14ac:dyDescent="0.25">
      <c r="C191" s="2"/>
      <c r="D191" s="2"/>
      <c r="E191" s="2"/>
      <c r="F191" s="2"/>
    </row>
    <row r="192" spans="3:6" ht="19.95" customHeight="1" x14ac:dyDescent="0.25">
      <c r="C192" s="2"/>
      <c r="D192" s="2"/>
      <c r="E192" s="2"/>
      <c r="F192" s="2"/>
    </row>
    <row r="193" spans="3:6" ht="19.95" customHeight="1" x14ac:dyDescent="0.25">
      <c r="C193" s="2"/>
      <c r="D193" s="2"/>
      <c r="E193" s="2"/>
      <c r="F193" s="2"/>
    </row>
    <row r="194" spans="3:6" ht="19.95" customHeight="1" x14ac:dyDescent="0.25">
      <c r="C194" s="2"/>
      <c r="D194" s="2"/>
      <c r="E194" s="2"/>
      <c r="F194" s="2"/>
    </row>
    <row r="195" spans="3:6" ht="19.95" customHeight="1" x14ac:dyDescent="0.25">
      <c r="C195" s="2"/>
      <c r="D195" s="2"/>
      <c r="E195" s="2"/>
      <c r="F195" s="2"/>
    </row>
    <row r="196" spans="3:6" ht="19.95" customHeight="1" x14ac:dyDescent="0.25">
      <c r="C196" s="2"/>
      <c r="D196" s="2"/>
      <c r="E196" s="2"/>
      <c r="F196" s="2"/>
    </row>
    <row r="197" spans="3:6" ht="19.95" customHeight="1" x14ac:dyDescent="0.25">
      <c r="C197" s="2"/>
      <c r="D197" s="2"/>
      <c r="E197" s="2"/>
      <c r="F197" s="2"/>
    </row>
    <row r="198" spans="3:6" ht="19.95" customHeight="1" x14ac:dyDescent="0.25">
      <c r="C198" s="2"/>
      <c r="D198" s="2"/>
      <c r="E198" s="2"/>
      <c r="F198" s="2"/>
    </row>
    <row r="199" spans="3:6" ht="19.95" customHeight="1" x14ac:dyDescent="0.25">
      <c r="C199" s="2"/>
      <c r="D199" s="2"/>
      <c r="E199" s="2"/>
      <c r="F199" s="2"/>
    </row>
    <row r="200" spans="3:6" ht="19.95" customHeight="1" x14ac:dyDescent="0.25">
      <c r="C200" s="2"/>
      <c r="D200" s="2"/>
      <c r="E200" s="2"/>
      <c r="F200" s="2"/>
    </row>
    <row r="201" spans="3:6" ht="19.95" customHeight="1" x14ac:dyDescent="0.25">
      <c r="C201" s="2"/>
      <c r="D201" s="2"/>
      <c r="E201" s="2"/>
      <c r="F201" s="2"/>
    </row>
    <row r="202" spans="3:6" ht="19.95" customHeight="1" x14ac:dyDescent="0.25">
      <c r="C202" s="2"/>
      <c r="D202" s="2"/>
      <c r="E202" s="2"/>
      <c r="F202" s="2"/>
    </row>
    <row r="203" spans="3:6" ht="19.95" customHeight="1" x14ac:dyDescent="0.25">
      <c r="C203" s="2"/>
      <c r="D203" s="2"/>
      <c r="E203" s="2"/>
      <c r="F203" s="2"/>
    </row>
    <row r="204" spans="3:6" ht="19.95" customHeight="1" x14ac:dyDescent="0.25">
      <c r="C204" s="2"/>
      <c r="D204" s="2"/>
      <c r="E204" s="2"/>
      <c r="F204" s="2"/>
    </row>
    <row r="205" spans="3:6" ht="19.95" customHeight="1" x14ac:dyDescent="0.25">
      <c r="C205" s="2"/>
      <c r="D205" s="2"/>
      <c r="E205" s="2"/>
      <c r="F205" s="2"/>
    </row>
    <row r="206" spans="3:6" ht="19.95" customHeight="1" x14ac:dyDescent="0.25">
      <c r="C206" s="2"/>
      <c r="D206" s="2"/>
      <c r="E206" s="2"/>
      <c r="F206" s="2"/>
    </row>
    <row r="207" spans="3:6" ht="19.95" customHeight="1" x14ac:dyDescent="0.25">
      <c r="C207" s="2"/>
      <c r="D207" s="2"/>
      <c r="E207" s="2"/>
      <c r="F207" s="2"/>
    </row>
    <row r="208" spans="3:6" ht="19.95" customHeight="1" x14ac:dyDescent="0.25">
      <c r="C208" s="2"/>
      <c r="D208" s="2"/>
      <c r="E208" s="2"/>
      <c r="F208" s="2"/>
    </row>
    <row r="209" spans="3:6" ht="19.95" customHeight="1" x14ac:dyDescent="0.25">
      <c r="C209" s="2"/>
      <c r="D209" s="2"/>
      <c r="E209" s="2"/>
      <c r="F209" s="2"/>
    </row>
    <row r="210" spans="3:6" ht="19.95" customHeight="1" x14ac:dyDescent="0.25">
      <c r="C210" s="2"/>
      <c r="D210" s="2"/>
      <c r="E210" s="2"/>
      <c r="F210" s="2"/>
    </row>
    <row r="211" spans="3:6" ht="19.95" customHeight="1" x14ac:dyDescent="0.25">
      <c r="C211" s="2"/>
      <c r="D211" s="2"/>
      <c r="E211" s="2"/>
      <c r="F211" s="2"/>
    </row>
    <row r="212" spans="3:6" ht="19.95" customHeight="1" x14ac:dyDescent="0.25">
      <c r="C212" s="2"/>
      <c r="D212" s="2"/>
      <c r="E212" s="2"/>
      <c r="F212" s="2"/>
    </row>
    <row r="213" spans="3:6" ht="19.95" customHeight="1" x14ac:dyDescent="0.25">
      <c r="C213" s="2"/>
      <c r="D213" s="2"/>
      <c r="E213" s="2"/>
      <c r="F213" s="2"/>
    </row>
    <row r="214" spans="3:6" ht="19.95" customHeight="1" x14ac:dyDescent="0.25">
      <c r="C214" s="2"/>
      <c r="D214" s="2"/>
      <c r="E214" s="2"/>
      <c r="F214" s="2"/>
    </row>
    <row r="215" spans="3:6" ht="19.95" customHeight="1" x14ac:dyDescent="0.25">
      <c r="C215" s="2"/>
      <c r="D215" s="2"/>
      <c r="E215" s="2"/>
      <c r="F215" s="2"/>
    </row>
    <row r="216" spans="3:6" ht="19.95" customHeight="1" x14ac:dyDescent="0.25">
      <c r="C216" s="2"/>
      <c r="D216" s="2"/>
      <c r="E216" s="2"/>
      <c r="F216" s="2"/>
    </row>
    <row r="217" spans="3:6" ht="19.95" customHeight="1" x14ac:dyDescent="0.25">
      <c r="C217" s="2"/>
      <c r="D217" s="2"/>
      <c r="E217" s="2"/>
      <c r="F217" s="2"/>
    </row>
    <row r="218" spans="3:6" ht="19.95" customHeight="1" x14ac:dyDescent="0.25">
      <c r="C218" s="2"/>
      <c r="D218" s="2"/>
      <c r="E218" s="2"/>
      <c r="F218" s="2"/>
    </row>
    <row r="219" spans="3:6" ht="19.95" customHeight="1" x14ac:dyDescent="0.25">
      <c r="C219" s="2"/>
      <c r="D219" s="2"/>
      <c r="E219" s="2"/>
      <c r="F219" s="2"/>
    </row>
    <row r="220" spans="3:6" ht="19.95" customHeight="1" x14ac:dyDescent="0.25">
      <c r="C220" s="2"/>
      <c r="D220" s="2"/>
      <c r="E220" s="2"/>
      <c r="F220" s="2"/>
    </row>
    <row r="221" spans="3:6" ht="19.95" customHeight="1" x14ac:dyDescent="0.25">
      <c r="C221" s="2"/>
      <c r="D221" s="2"/>
      <c r="E221" s="2"/>
      <c r="F221" s="2"/>
    </row>
    <row r="222" spans="3:6" ht="19.95" customHeight="1" x14ac:dyDescent="0.25">
      <c r="C222" s="2"/>
      <c r="D222" s="2"/>
      <c r="E222" s="2"/>
      <c r="F222" s="2"/>
    </row>
    <row r="223" spans="3:6" ht="19.95" customHeight="1" x14ac:dyDescent="0.25">
      <c r="C223" s="2"/>
      <c r="D223" s="2"/>
      <c r="E223" s="2"/>
      <c r="F223" s="2"/>
    </row>
    <row r="224" spans="3:6" ht="19.95" customHeight="1" x14ac:dyDescent="0.25">
      <c r="C224" s="2"/>
      <c r="D224" s="2"/>
      <c r="E224" s="2"/>
      <c r="F224" s="2"/>
    </row>
    <row r="225" spans="3:6" ht="19.95" customHeight="1" x14ac:dyDescent="0.25">
      <c r="C225" s="2"/>
      <c r="D225" s="2"/>
      <c r="E225" s="2"/>
      <c r="F225" s="2"/>
    </row>
    <row r="226" spans="3:6" ht="19.95" customHeight="1" x14ac:dyDescent="0.25">
      <c r="C226" s="2"/>
      <c r="D226" s="2"/>
      <c r="E226" s="2"/>
      <c r="F226" s="2"/>
    </row>
    <row r="227" spans="3:6" ht="19.95" customHeight="1" x14ac:dyDescent="0.25">
      <c r="C227" s="2"/>
      <c r="D227" s="2"/>
      <c r="E227" s="2"/>
      <c r="F227" s="2"/>
    </row>
    <row r="228" spans="3:6" ht="19.95" customHeight="1" x14ac:dyDescent="0.25">
      <c r="C228" s="2"/>
      <c r="D228" s="2"/>
      <c r="E228" s="2"/>
      <c r="F228" s="2"/>
    </row>
    <row r="229" spans="3:6" ht="19.95" customHeight="1" x14ac:dyDescent="0.25">
      <c r="C229" s="2"/>
      <c r="D229" s="2"/>
      <c r="E229" s="2"/>
      <c r="F229" s="2"/>
    </row>
    <row r="230" spans="3:6" ht="19.95" customHeight="1" x14ac:dyDescent="0.25">
      <c r="C230" s="2"/>
      <c r="D230" s="2"/>
      <c r="E230" s="2"/>
      <c r="F230" s="2"/>
    </row>
    <row r="231" spans="3:6" ht="19.95" customHeight="1" x14ac:dyDescent="0.25">
      <c r="C231" s="2"/>
      <c r="D231" s="2"/>
      <c r="E231" s="2"/>
      <c r="F231" s="2"/>
    </row>
    <row r="232" spans="3:6" ht="19.95" customHeight="1" x14ac:dyDescent="0.25">
      <c r="C232" s="2"/>
      <c r="D232" s="2"/>
      <c r="E232" s="2"/>
      <c r="F232" s="2"/>
    </row>
    <row r="233" spans="3:6" ht="19.95" customHeight="1" x14ac:dyDescent="0.25">
      <c r="C233" s="2"/>
      <c r="D233" s="2"/>
      <c r="E233" s="2"/>
      <c r="F233" s="2"/>
    </row>
    <row r="234" spans="3:6" ht="19.95" customHeight="1" x14ac:dyDescent="0.25">
      <c r="C234" s="2"/>
      <c r="D234" s="2"/>
      <c r="E234" s="2"/>
      <c r="F234" s="2"/>
    </row>
    <row r="235" spans="3:6" ht="19.95" customHeight="1" x14ac:dyDescent="0.25">
      <c r="C235" s="2"/>
      <c r="D235" s="2"/>
      <c r="E235" s="2"/>
      <c r="F235" s="2"/>
    </row>
    <row r="236" spans="3:6" ht="19.95" customHeight="1" x14ac:dyDescent="0.25">
      <c r="C236" s="2"/>
      <c r="D236" s="2"/>
      <c r="E236" s="2"/>
      <c r="F236" s="2"/>
    </row>
    <row r="237" spans="3:6" ht="19.95" customHeight="1" x14ac:dyDescent="0.25">
      <c r="C237" s="2"/>
      <c r="D237" s="2"/>
      <c r="E237" s="2"/>
      <c r="F237" s="2"/>
    </row>
    <row r="238" spans="3:6" ht="19.95" customHeight="1" x14ac:dyDescent="0.25">
      <c r="C238" s="2"/>
      <c r="D238" s="2"/>
      <c r="E238" s="2"/>
      <c r="F238" s="2"/>
    </row>
    <row r="239" spans="3:6" ht="19.95" customHeight="1" x14ac:dyDescent="0.25">
      <c r="C239" s="2"/>
      <c r="D239" s="2"/>
      <c r="E239" s="2"/>
      <c r="F239" s="2"/>
    </row>
    <row r="240" spans="3:6" ht="19.95" customHeight="1" x14ac:dyDescent="0.25">
      <c r="C240" s="2"/>
      <c r="D240" s="2"/>
      <c r="E240" s="2"/>
      <c r="F240" s="2"/>
    </row>
    <row r="241" spans="3:6" ht="19.95" customHeight="1" x14ac:dyDescent="0.25">
      <c r="C241" s="2"/>
      <c r="D241" s="2"/>
      <c r="E241" s="2"/>
      <c r="F241" s="2"/>
    </row>
    <row r="242" spans="3:6" ht="19.95" customHeight="1" x14ac:dyDescent="0.25">
      <c r="C242" s="2"/>
      <c r="D242" s="2"/>
      <c r="E242" s="2"/>
      <c r="F242" s="2"/>
    </row>
    <row r="243" spans="3:6" ht="19.95" customHeight="1" x14ac:dyDescent="0.25">
      <c r="C243" s="2"/>
      <c r="D243" s="2"/>
      <c r="E243" s="2"/>
      <c r="F243" s="2"/>
    </row>
    <row r="244" spans="3:6" ht="19.95" customHeight="1" x14ac:dyDescent="0.25">
      <c r="C244" s="2"/>
      <c r="D244" s="2"/>
      <c r="E244" s="2"/>
      <c r="F244" s="2"/>
    </row>
    <row r="245" spans="3:6" ht="19.95" customHeight="1" x14ac:dyDescent="0.25">
      <c r="C245" s="2"/>
      <c r="D245" s="2"/>
      <c r="E245" s="2"/>
      <c r="F245" s="2"/>
    </row>
    <row r="246" spans="3:6" ht="19.95" customHeight="1" x14ac:dyDescent="0.25">
      <c r="C246" s="2"/>
      <c r="D246" s="2"/>
      <c r="E246" s="2"/>
      <c r="F246" s="2"/>
    </row>
    <row r="247" spans="3:6" ht="19.95" customHeight="1" x14ac:dyDescent="0.25">
      <c r="C247" s="2"/>
      <c r="D247" s="2"/>
      <c r="E247" s="2"/>
      <c r="F247" s="2"/>
    </row>
    <row r="248" spans="3:6" ht="19.95" customHeight="1" x14ac:dyDescent="0.25">
      <c r="C248" s="2"/>
      <c r="D248" s="2"/>
      <c r="E248" s="2"/>
      <c r="F248" s="2"/>
    </row>
    <row r="249" spans="3:6" ht="19.95" customHeight="1" x14ac:dyDescent="0.25">
      <c r="C249" s="2"/>
      <c r="D249" s="2"/>
      <c r="E249" s="2"/>
      <c r="F249" s="2"/>
    </row>
    <row r="250" spans="3:6" ht="19.95" customHeight="1" x14ac:dyDescent="0.25">
      <c r="C250" s="2"/>
      <c r="D250" s="2"/>
      <c r="E250" s="2"/>
      <c r="F250" s="2"/>
    </row>
    <row r="251" spans="3:6" ht="19.95" customHeight="1" x14ac:dyDescent="0.25">
      <c r="C251" s="2"/>
      <c r="D251" s="2"/>
      <c r="E251" s="2"/>
      <c r="F251" s="2"/>
    </row>
    <row r="252" spans="3:6" ht="19.95" customHeight="1" x14ac:dyDescent="0.25">
      <c r="C252" s="2"/>
      <c r="D252" s="2"/>
      <c r="E252" s="2"/>
      <c r="F252" s="2"/>
    </row>
    <row r="253" spans="3:6" ht="19.95" customHeight="1" x14ac:dyDescent="0.25">
      <c r="C253" s="2"/>
      <c r="D253" s="2"/>
      <c r="E253" s="2"/>
      <c r="F253" s="2"/>
    </row>
    <row r="254" spans="3:6" ht="19.95" customHeight="1" x14ac:dyDescent="0.25">
      <c r="C254" s="2"/>
      <c r="D254" s="2"/>
      <c r="E254" s="2"/>
      <c r="F254" s="2"/>
    </row>
    <row r="255" spans="3:6" ht="19.95" customHeight="1" x14ac:dyDescent="0.25">
      <c r="C255" s="2"/>
      <c r="D255" s="2"/>
      <c r="E255" s="2"/>
      <c r="F255" s="2"/>
    </row>
    <row r="256" spans="3:6" ht="19.95" customHeight="1" x14ac:dyDescent="0.25">
      <c r="C256" s="2"/>
      <c r="D256" s="2"/>
      <c r="E256" s="2"/>
      <c r="F256" s="2"/>
    </row>
    <row r="257" spans="3:6" ht="19.95" customHeight="1" x14ac:dyDescent="0.25">
      <c r="C257" s="2"/>
      <c r="D257" s="2"/>
      <c r="E257" s="2"/>
      <c r="F257" s="2"/>
    </row>
    <row r="258" spans="3:6" ht="19.95" customHeight="1" x14ac:dyDescent="0.25">
      <c r="C258" s="2"/>
      <c r="D258" s="2"/>
      <c r="E258" s="2"/>
      <c r="F258" s="2"/>
    </row>
    <row r="259" spans="3:6" ht="19.95" customHeight="1" x14ac:dyDescent="0.25">
      <c r="C259" s="2"/>
      <c r="D259" s="2"/>
      <c r="E259" s="2"/>
      <c r="F259" s="2"/>
    </row>
    <row r="260" spans="3:6" ht="19.95" customHeight="1" x14ac:dyDescent="0.25">
      <c r="C260" s="2"/>
      <c r="D260" s="2"/>
      <c r="E260" s="2"/>
      <c r="F260" s="2"/>
    </row>
    <row r="261" spans="3:6" ht="19.95" customHeight="1" x14ac:dyDescent="0.25">
      <c r="C261" s="2"/>
      <c r="D261" s="2"/>
      <c r="E261" s="2"/>
      <c r="F261" s="2"/>
    </row>
    <row r="262" spans="3:6" ht="19.95" customHeight="1" x14ac:dyDescent="0.25">
      <c r="C262" s="2"/>
      <c r="D262" s="2"/>
      <c r="E262" s="2"/>
      <c r="F262" s="2"/>
    </row>
    <row r="263" spans="3:6" ht="19.95" customHeight="1" x14ac:dyDescent="0.25">
      <c r="C263" s="2"/>
      <c r="D263" s="2"/>
      <c r="E263" s="2"/>
      <c r="F263" s="2"/>
    </row>
    <row r="264" spans="3:6" ht="19.95" customHeight="1" x14ac:dyDescent="0.25">
      <c r="C264" s="2"/>
      <c r="D264" s="2"/>
      <c r="E264" s="2"/>
      <c r="F264" s="2"/>
    </row>
    <row r="265" spans="3:6" ht="19.95" customHeight="1" x14ac:dyDescent="0.25">
      <c r="C265" s="2"/>
      <c r="D265" s="2"/>
      <c r="E265" s="2"/>
      <c r="F265" s="2"/>
    </row>
    <row r="266" spans="3:6" ht="19.95" customHeight="1" x14ac:dyDescent="0.25">
      <c r="C266" s="2"/>
      <c r="D266" s="2"/>
      <c r="E266" s="2"/>
      <c r="F266" s="2"/>
    </row>
    <row r="267" spans="3:6" ht="19.95" customHeight="1" x14ac:dyDescent="0.25">
      <c r="C267" s="2"/>
      <c r="D267" s="2"/>
      <c r="E267" s="2"/>
      <c r="F267" s="2"/>
    </row>
    <row r="268" spans="3:6" ht="19.95" customHeight="1" x14ac:dyDescent="0.25">
      <c r="C268" s="2"/>
      <c r="D268" s="2"/>
      <c r="E268" s="2"/>
      <c r="F268" s="2"/>
    </row>
    <row r="269" spans="3:6" ht="19.95" customHeight="1" x14ac:dyDescent="0.25">
      <c r="C269" s="2"/>
      <c r="D269" s="2"/>
      <c r="E269" s="2"/>
      <c r="F269" s="2"/>
    </row>
    <row r="270" spans="3:6" ht="19.95" customHeight="1" x14ac:dyDescent="0.25">
      <c r="C270" s="2"/>
      <c r="D270" s="2"/>
      <c r="E270" s="2"/>
      <c r="F270" s="2"/>
    </row>
    <row r="271" spans="3:6" ht="19.95" customHeight="1" x14ac:dyDescent="0.25">
      <c r="C271" s="2"/>
      <c r="D271" s="2"/>
      <c r="E271" s="2"/>
      <c r="F271" s="2"/>
    </row>
    <row r="272" spans="3:6" ht="19.95" customHeight="1" x14ac:dyDescent="0.25">
      <c r="C272" s="2"/>
      <c r="D272" s="2"/>
      <c r="E272" s="2"/>
      <c r="F272" s="2"/>
    </row>
    <row r="273" spans="3:6" ht="19.95" customHeight="1" x14ac:dyDescent="0.25">
      <c r="C273" s="2"/>
      <c r="D273" s="2"/>
      <c r="E273" s="2"/>
      <c r="F273" s="2"/>
    </row>
    <row r="274" spans="3:6" ht="19.95" customHeight="1" x14ac:dyDescent="0.25">
      <c r="C274" s="2"/>
      <c r="D274" s="2"/>
      <c r="E274" s="2"/>
      <c r="F274" s="2"/>
    </row>
    <row r="275" spans="3:6" ht="19.95" customHeight="1" x14ac:dyDescent="0.25">
      <c r="C275" s="2"/>
      <c r="D275" s="2"/>
      <c r="E275" s="2"/>
      <c r="F275" s="2"/>
    </row>
    <row r="276" spans="3:6" ht="19.95" customHeight="1" x14ac:dyDescent="0.25">
      <c r="C276" s="2"/>
      <c r="D276" s="2"/>
      <c r="E276" s="2"/>
      <c r="F276" s="2"/>
    </row>
    <row r="277" spans="3:6" ht="19.95" customHeight="1" x14ac:dyDescent="0.25">
      <c r="C277" s="2"/>
      <c r="D277" s="2"/>
      <c r="E277" s="2"/>
      <c r="F277" s="2"/>
    </row>
    <row r="278" spans="3:6" ht="19.95" customHeight="1" x14ac:dyDescent="0.25">
      <c r="C278" s="2"/>
      <c r="D278" s="2"/>
      <c r="E278" s="2"/>
      <c r="F278" s="2"/>
    </row>
    <row r="279" spans="3:6" ht="19.95" customHeight="1" x14ac:dyDescent="0.25">
      <c r="C279" s="2"/>
      <c r="D279" s="2"/>
      <c r="E279" s="2"/>
      <c r="F279" s="2"/>
    </row>
    <row r="280" spans="3:6" ht="19.95" customHeight="1" x14ac:dyDescent="0.25">
      <c r="C280" s="2"/>
      <c r="D280" s="2"/>
      <c r="E280" s="2"/>
      <c r="F280" s="2"/>
    </row>
    <row r="281" spans="3:6" ht="19.95" customHeight="1" x14ac:dyDescent="0.25">
      <c r="C281" s="2"/>
      <c r="D281" s="2"/>
      <c r="E281" s="2"/>
      <c r="F281" s="2"/>
    </row>
    <row r="282" spans="3:6" ht="19.95" customHeight="1" x14ac:dyDescent="0.25">
      <c r="C282" s="2"/>
      <c r="D282" s="2"/>
      <c r="E282" s="2"/>
      <c r="F282" s="2"/>
    </row>
    <row r="283" spans="3:6" ht="19.95" customHeight="1" x14ac:dyDescent="0.25">
      <c r="C283" s="2"/>
      <c r="D283" s="2"/>
      <c r="E283" s="2"/>
      <c r="F283" s="2"/>
    </row>
    <row r="284" spans="3:6" ht="19.95" customHeight="1" x14ac:dyDescent="0.25">
      <c r="C284" s="2"/>
      <c r="D284" s="2"/>
      <c r="E284" s="2"/>
      <c r="F284" s="2"/>
    </row>
    <row r="285" spans="3:6" ht="19.95" customHeight="1" x14ac:dyDescent="0.25">
      <c r="C285" s="2"/>
      <c r="D285" s="2"/>
      <c r="E285" s="2"/>
      <c r="F285" s="2"/>
    </row>
    <row r="286" spans="3:6" ht="19.95" customHeight="1" x14ac:dyDescent="0.25">
      <c r="C286" s="2"/>
      <c r="D286" s="2"/>
      <c r="E286" s="2"/>
      <c r="F286" s="2"/>
    </row>
    <row r="287" spans="3:6" ht="19.95" customHeight="1" x14ac:dyDescent="0.25">
      <c r="C287" s="2"/>
      <c r="D287" s="2"/>
      <c r="E287" s="2"/>
      <c r="F287" s="2"/>
    </row>
    <row r="288" spans="3:6" ht="19.95" customHeight="1" x14ac:dyDescent="0.25">
      <c r="C288" s="2"/>
      <c r="D288" s="2"/>
      <c r="E288" s="2"/>
      <c r="F288" s="2"/>
    </row>
    <row r="289" spans="3:6" ht="19.95" customHeight="1" x14ac:dyDescent="0.25">
      <c r="C289" s="2"/>
      <c r="D289" s="2"/>
      <c r="E289" s="2"/>
      <c r="F289" s="2"/>
    </row>
    <row r="290" spans="3:6" ht="19.95" customHeight="1" x14ac:dyDescent="0.25">
      <c r="C290" s="2"/>
      <c r="D290" s="2"/>
      <c r="E290" s="2"/>
      <c r="F290" s="2"/>
    </row>
    <row r="291" spans="3:6" ht="19.95" customHeight="1" x14ac:dyDescent="0.25">
      <c r="C291" s="2"/>
      <c r="D291" s="2"/>
      <c r="E291" s="2"/>
      <c r="F291" s="2"/>
    </row>
    <row r="292" spans="3:6" ht="19.95" customHeight="1" x14ac:dyDescent="0.25">
      <c r="C292" s="2"/>
      <c r="D292" s="2"/>
      <c r="E292" s="2"/>
      <c r="F292" s="2"/>
    </row>
    <row r="293" spans="3:6" ht="19.95" customHeight="1" x14ac:dyDescent="0.25">
      <c r="C293" s="2"/>
      <c r="D293" s="2"/>
      <c r="E293" s="2"/>
      <c r="F293" s="2"/>
    </row>
    <row r="294" spans="3:6" ht="19.95" customHeight="1" x14ac:dyDescent="0.25">
      <c r="C294" s="2"/>
      <c r="D294" s="2"/>
      <c r="E294" s="2"/>
      <c r="F294" s="2"/>
    </row>
    <row r="295" spans="3:6" ht="19.95" customHeight="1" x14ac:dyDescent="0.25">
      <c r="C295" s="2"/>
      <c r="D295" s="2"/>
      <c r="E295" s="2"/>
      <c r="F295" s="2"/>
    </row>
    <row r="296" spans="3:6" ht="19.95" customHeight="1" x14ac:dyDescent="0.25">
      <c r="C296" s="2"/>
      <c r="D296" s="2"/>
      <c r="E296" s="2"/>
      <c r="F296" s="2"/>
    </row>
    <row r="297" spans="3:6" ht="19.95" customHeight="1" x14ac:dyDescent="0.25">
      <c r="C297" s="2"/>
      <c r="D297" s="2"/>
      <c r="E297" s="2"/>
      <c r="F297" s="2"/>
    </row>
    <row r="298" spans="3:6" ht="19.95" customHeight="1" x14ac:dyDescent="0.25">
      <c r="C298" s="2"/>
      <c r="D298" s="2"/>
      <c r="E298" s="2"/>
      <c r="F298" s="2"/>
    </row>
    <row r="299" spans="3:6" ht="19.95" customHeight="1" x14ac:dyDescent="0.25">
      <c r="C299" s="2"/>
      <c r="D299" s="2"/>
      <c r="E299" s="2"/>
      <c r="F299" s="2"/>
    </row>
    <row r="300" spans="3:6" ht="19.95" customHeight="1" x14ac:dyDescent="0.25">
      <c r="C300" s="2"/>
      <c r="D300" s="2"/>
      <c r="E300" s="2"/>
      <c r="F300" s="2"/>
    </row>
    <row r="301" spans="3:6" ht="19.95" customHeight="1" x14ac:dyDescent="0.25">
      <c r="C301" s="2"/>
      <c r="D301" s="2"/>
      <c r="E301" s="2"/>
      <c r="F301" s="2"/>
    </row>
    <row r="302" spans="3:6" ht="19.95" customHeight="1" x14ac:dyDescent="0.25">
      <c r="C302" s="2"/>
      <c r="D302" s="2"/>
      <c r="E302" s="2"/>
      <c r="F302" s="2"/>
    </row>
    <row r="303" spans="3:6" ht="19.95" customHeight="1" x14ac:dyDescent="0.25">
      <c r="C303" s="2"/>
      <c r="D303" s="2"/>
      <c r="E303" s="2"/>
      <c r="F303" s="2"/>
    </row>
    <row r="304" spans="3:6" ht="19.95" customHeight="1" x14ac:dyDescent="0.25">
      <c r="C304" s="2"/>
      <c r="D304" s="2"/>
      <c r="E304" s="2"/>
      <c r="F304" s="2"/>
    </row>
    <row r="305" spans="3:6" ht="19.95" customHeight="1" x14ac:dyDescent="0.25">
      <c r="C305" s="2"/>
      <c r="D305" s="2"/>
      <c r="E305" s="2"/>
      <c r="F305" s="2"/>
    </row>
    <row r="306" spans="3:6" ht="19.95" customHeight="1" x14ac:dyDescent="0.25">
      <c r="C306" s="2"/>
      <c r="D306" s="2"/>
      <c r="E306" s="2"/>
      <c r="F306" s="2"/>
    </row>
    <row r="307" spans="3:6" ht="19.95" customHeight="1" x14ac:dyDescent="0.25">
      <c r="C307" s="2"/>
      <c r="D307" s="2"/>
      <c r="E307" s="2"/>
      <c r="F307" s="2"/>
    </row>
    <row r="308" spans="3:6" ht="19.95" customHeight="1" x14ac:dyDescent="0.25">
      <c r="C308" s="2"/>
      <c r="D308" s="2"/>
      <c r="E308" s="2"/>
      <c r="F308" s="2"/>
    </row>
    <row r="309" spans="3:6" ht="19.95" customHeight="1" x14ac:dyDescent="0.25">
      <c r="C309" s="2"/>
      <c r="D309" s="2"/>
      <c r="E309" s="2"/>
      <c r="F309" s="2"/>
    </row>
    <row r="310" spans="3:6" ht="19.95" customHeight="1" x14ac:dyDescent="0.25">
      <c r="C310" s="2"/>
      <c r="D310" s="2"/>
      <c r="E310" s="2"/>
      <c r="F310" s="2"/>
    </row>
    <row r="311" spans="3:6" ht="19.95" customHeight="1" x14ac:dyDescent="0.25">
      <c r="C311" s="2"/>
      <c r="D311" s="2"/>
      <c r="E311" s="2"/>
      <c r="F311" s="2"/>
    </row>
    <row r="312" spans="3:6" ht="19.95" customHeight="1" x14ac:dyDescent="0.25">
      <c r="C312" s="2"/>
      <c r="D312" s="2"/>
      <c r="E312" s="2"/>
      <c r="F312" s="2"/>
    </row>
  </sheetData>
  <mergeCells count="190">
    <mergeCell ref="P106:P109"/>
    <mergeCell ref="R106:R109"/>
    <mergeCell ref="A110:A113"/>
    <mergeCell ref="A106:A109"/>
    <mergeCell ref="H106:H109"/>
    <mergeCell ref="J106:J109"/>
    <mergeCell ref="L106:L109"/>
    <mergeCell ref="N106:N109"/>
    <mergeCell ref="P98:P101"/>
    <mergeCell ref="R98:R101"/>
    <mergeCell ref="A102:A105"/>
    <mergeCell ref="H102:H105"/>
    <mergeCell ref="J102:J105"/>
    <mergeCell ref="L102:L105"/>
    <mergeCell ref="N102:N105"/>
    <mergeCell ref="P102:P105"/>
    <mergeCell ref="R102:R105"/>
    <mergeCell ref="A98:A101"/>
    <mergeCell ref="H98:H101"/>
    <mergeCell ref="J98:J101"/>
    <mergeCell ref="L98:L101"/>
    <mergeCell ref="N98:N101"/>
    <mergeCell ref="P90:P93"/>
    <mergeCell ref="R90:R93"/>
    <mergeCell ref="A94:A97"/>
    <mergeCell ref="H94:H97"/>
    <mergeCell ref="J94:J97"/>
    <mergeCell ref="L94:L97"/>
    <mergeCell ref="N94:N97"/>
    <mergeCell ref="P94:P97"/>
    <mergeCell ref="R94:R97"/>
    <mergeCell ref="A90:A93"/>
    <mergeCell ref="H90:H93"/>
    <mergeCell ref="J90:J93"/>
    <mergeCell ref="L90:L93"/>
    <mergeCell ref="N90:N93"/>
    <mergeCell ref="P82:P85"/>
    <mergeCell ref="R82:R85"/>
    <mergeCell ref="A86:A89"/>
    <mergeCell ref="H86:H89"/>
    <mergeCell ref="J86:J89"/>
    <mergeCell ref="L86:L89"/>
    <mergeCell ref="N86:N89"/>
    <mergeCell ref="P86:P89"/>
    <mergeCell ref="R86:R89"/>
    <mergeCell ref="A82:A85"/>
    <mergeCell ref="H82:H85"/>
    <mergeCell ref="J82:J85"/>
    <mergeCell ref="L82:L85"/>
    <mergeCell ref="N82:N85"/>
    <mergeCell ref="P74:P77"/>
    <mergeCell ref="R74:R77"/>
    <mergeCell ref="A78:A81"/>
    <mergeCell ref="H78:H81"/>
    <mergeCell ref="J78:J81"/>
    <mergeCell ref="L78:L81"/>
    <mergeCell ref="N78:N81"/>
    <mergeCell ref="P78:P81"/>
    <mergeCell ref="R78:R81"/>
    <mergeCell ref="A74:A77"/>
    <mergeCell ref="H74:H77"/>
    <mergeCell ref="J74:J77"/>
    <mergeCell ref="L74:L77"/>
    <mergeCell ref="N74:N77"/>
    <mergeCell ref="P66:P69"/>
    <mergeCell ref="R66:R69"/>
    <mergeCell ref="A70:A73"/>
    <mergeCell ref="H70:H73"/>
    <mergeCell ref="J70:J73"/>
    <mergeCell ref="L70:L73"/>
    <mergeCell ref="N70:N73"/>
    <mergeCell ref="P70:P73"/>
    <mergeCell ref="R70:R73"/>
    <mergeCell ref="A66:A69"/>
    <mergeCell ref="H66:H69"/>
    <mergeCell ref="J66:J69"/>
    <mergeCell ref="L66:L69"/>
    <mergeCell ref="N66:N69"/>
    <mergeCell ref="P58:P61"/>
    <mergeCell ref="R58:R61"/>
    <mergeCell ref="A62:A65"/>
    <mergeCell ref="H62:H65"/>
    <mergeCell ref="J62:J65"/>
    <mergeCell ref="L62:L65"/>
    <mergeCell ref="N62:N65"/>
    <mergeCell ref="P62:P65"/>
    <mergeCell ref="R62:R65"/>
    <mergeCell ref="A58:A61"/>
    <mergeCell ref="H58:H61"/>
    <mergeCell ref="J58:J61"/>
    <mergeCell ref="L58:L61"/>
    <mergeCell ref="N58:N61"/>
    <mergeCell ref="P50:P53"/>
    <mergeCell ref="R50:R53"/>
    <mergeCell ref="A54:A57"/>
    <mergeCell ref="H54:H57"/>
    <mergeCell ref="J54:J57"/>
    <mergeCell ref="L54:L57"/>
    <mergeCell ref="N54:N57"/>
    <mergeCell ref="P54:P57"/>
    <mergeCell ref="R54:R57"/>
    <mergeCell ref="A50:A53"/>
    <mergeCell ref="H50:H53"/>
    <mergeCell ref="J50:J53"/>
    <mergeCell ref="L50:L53"/>
    <mergeCell ref="N50:N53"/>
    <mergeCell ref="P42:P45"/>
    <mergeCell ref="R42:R45"/>
    <mergeCell ref="A46:A49"/>
    <mergeCell ref="H46:H49"/>
    <mergeCell ref="J46:J49"/>
    <mergeCell ref="L46:L49"/>
    <mergeCell ref="N46:N49"/>
    <mergeCell ref="P46:P49"/>
    <mergeCell ref="R46:R49"/>
    <mergeCell ref="A42:A45"/>
    <mergeCell ref="H42:H45"/>
    <mergeCell ref="J42:J45"/>
    <mergeCell ref="L42:L45"/>
    <mergeCell ref="N42:N45"/>
    <mergeCell ref="P34:P37"/>
    <mergeCell ref="R34:R37"/>
    <mergeCell ref="A38:A41"/>
    <mergeCell ref="H38:H41"/>
    <mergeCell ref="J38:J41"/>
    <mergeCell ref="L38:L41"/>
    <mergeCell ref="N38:N41"/>
    <mergeCell ref="P38:P41"/>
    <mergeCell ref="R38:R41"/>
    <mergeCell ref="A34:A37"/>
    <mergeCell ref="H34:H37"/>
    <mergeCell ref="J34:J37"/>
    <mergeCell ref="L34:L37"/>
    <mergeCell ref="N34:N37"/>
    <mergeCell ref="P26:P29"/>
    <mergeCell ref="R26:R29"/>
    <mergeCell ref="A30:A33"/>
    <mergeCell ref="H30:H33"/>
    <mergeCell ref="J30:J33"/>
    <mergeCell ref="L30:L33"/>
    <mergeCell ref="N30:N33"/>
    <mergeCell ref="P30:P33"/>
    <mergeCell ref="R30:R33"/>
    <mergeCell ref="A26:A29"/>
    <mergeCell ref="H26:H29"/>
    <mergeCell ref="J26:J29"/>
    <mergeCell ref="L26:L29"/>
    <mergeCell ref="N26:N29"/>
    <mergeCell ref="H10:H13"/>
    <mergeCell ref="J10:J13"/>
    <mergeCell ref="L10:L13"/>
    <mergeCell ref="N10:N13"/>
    <mergeCell ref="P10:P13"/>
    <mergeCell ref="R18:R21"/>
    <mergeCell ref="A22:A25"/>
    <mergeCell ref="H22:H25"/>
    <mergeCell ref="J22:J25"/>
    <mergeCell ref="L22:L25"/>
    <mergeCell ref="N22:N25"/>
    <mergeCell ref="P22:P25"/>
    <mergeCell ref="R22:R25"/>
    <mergeCell ref="H18:H21"/>
    <mergeCell ref="J18:J21"/>
    <mergeCell ref="L18:L21"/>
    <mergeCell ref="N18:N21"/>
    <mergeCell ref="P18:P21"/>
    <mergeCell ref="A2:A5"/>
    <mergeCell ref="A6:A9"/>
    <mergeCell ref="A10:A13"/>
    <mergeCell ref="A14:A17"/>
    <mergeCell ref="A18:A21"/>
    <mergeCell ref="R2:R5"/>
    <mergeCell ref="H6:H9"/>
    <mergeCell ref="J6:J9"/>
    <mergeCell ref="L6:L9"/>
    <mergeCell ref="N6:N9"/>
    <mergeCell ref="P6:P9"/>
    <mergeCell ref="R6:R9"/>
    <mergeCell ref="H2:H5"/>
    <mergeCell ref="J2:J5"/>
    <mergeCell ref="L2:L5"/>
    <mergeCell ref="N2:N5"/>
    <mergeCell ref="P2:P5"/>
    <mergeCell ref="R10:R13"/>
    <mergeCell ref="H14:H17"/>
    <mergeCell ref="J14:J17"/>
    <mergeCell ref="L14:L17"/>
    <mergeCell ref="N14:N17"/>
    <mergeCell ref="P14:P17"/>
    <mergeCell ref="R14:R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Xuyang</dc:creator>
  <cp:lastModifiedBy>Xuyang Wang</cp:lastModifiedBy>
  <dcterms:created xsi:type="dcterms:W3CDTF">2015-06-05T18:19:34Z</dcterms:created>
  <dcterms:modified xsi:type="dcterms:W3CDTF">2026-03-26T02:27:25Z</dcterms:modified>
</cp:coreProperties>
</file>